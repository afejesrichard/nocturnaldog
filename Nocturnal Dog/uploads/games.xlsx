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lmösszesítő" sheetId="1" r:id="rId5"/>
    <sheet state="visible" name="Programösszesítő" sheetId="2" r:id="rId6"/>
    <sheet state="visible" name="Ident (Ádám)" sheetId="3" r:id="rId7"/>
    <sheet state="visible" name="Fordulatok (Ricsi)" sheetId="4" r:id="rId8"/>
    <sheet state="visible" name="Projektek (Matyi)" sheetId="5" r:id="rId9"/>
    <sheet state="visible" name="Sötét oldal (Marci)" sheetId="6" r:id="rId10"/>
    <sheet state="visible" name="Személyes köszöntők" sheetId="7" r:id="rId11"/>
    <sheet state="visible" name="Szereplők" sheetId="8" r:id="rId12"/>
    <sheet state="visible" name="Visszajelzések" sheetId="9" r:id="rId13"/>
  </sheets>
  <definedNames>
    <definedName name="címek">'Filmösszesítő'!$A$2:$A$18</definedName>
    <definedName hidden="1" localSheetId="0" name="Z_5A50D8B9_57A3_4E3E_B445_26BA9A88A82A_.wvu.FilterData">'Filmösszesítő'!$A$1:$H$32</definedName>
  </definedNames>
  <calcPr/>
  <customWorkbookViews>
    <customWorkbookView activeSheetId="0" maximized="1" windowHeight="0" windowWidth="0" guid="{5A50D8B9-57A3-4E3E-B445-26BA9A88A82A}" name="Blokkok"/>
  </customWorkbookViews>
</workbook>
</file>

<file path=xl/sharedStrings.xml><?xml version="1.0" encoding="utf-8"?>
<sst xmlns="http://schemas.openxmlformats.org/spreadsheetml/2006/main" count="541" uniqueCount="255">
  <si>
    <t>Cím</t>
  </si>
  <si>
    <t>Játékidő (perc)</t>
  </si>
  <si>
    <t>Blokk</t>
  </si>
  <si>
    <t>Link</t>
  </si>
  <si>
    <t>Év</t>
  </si>
  <si>
    <t>Műfaj</t>
  </si>
  <si>
    <t>Leírás</t>
  </si>
  <si>
    <t>Sorszám</t>
  </si>
  <si>
    <t>1435MM</t>
  </si>
  <si>
    <t>Ident</t>
  </si>
  <si>
    <t>https://youtu.be/mrjREvSq28A</t>
  </si>
  <si>
    <t>Rövidfilm</t>
  </si>
  <si>
    <t>A világ vasútjainak több mint 50%-a 1435 mm-es nyomtávolságú. Nehéz egy külön esszé megnyitása nélkül ennél bővebben beszélni erről a műről. A Nocturnal Dog történetének egyik legfontosabb darabja a 1435MM, amely három szereplőt követ végig, akik sorsa összefonódik valahol végtelenben a feloldódás és eltűnés élménye által kísérve. A képek és a montázs embert próbáló, a hangulata kísérleti, de ez volt az első film, amely megragadta a műhely nehezen megragadható, de határozottan kitapintható identitását.</t>
  </si>
  <si>
    <t>Phish</t>
  </si>
  <si>
    <t>Fordulatok</t>
  </si>
  <si>
    <t>https://youtu.be/dLq1gBb8lSc</t>
  </si>
  <si>
    <t>Misztikus</t>
  </si>
  <si>
    <t>Az első filmünk, amely a később bejáratott 48 órás filmpályázatra készült. A műfaj "mystery" címkével lett ellátva, szerepeltetnünk kellett egy halat a műben, és az "it will never fly" mondatnak el kellett valamilyen formában hangoznia. A történet egy rongyos gyerekcsoportról szól, akik ritualisztikus eszközökkel sikeresen véghez visznek valamit, ami a tudomány eszközeivel lehetetlennek bizonyul.</t>
  </si>
  <si>
    <t>Ördögszekér</t>
  </si>
  <si>
    <t>Sötét oldal</t>
  </si>
  <si>
    <t>https://youtu.be/DZnKJDzESfI</t>
  </si>
  <si>
    <t>Rita, Csaba és gyermekük Márk egy csodálatos közös vakációra készültek. Egy rossz kanyar és hibás útvonalválasztás azonban más irányba tereli az utazásukat, és egy országút menti társulat szállásánál kötnek ki. Szerencsére pont ma este játszák újra a világraszóló bábelőadásukat.</t>
  </si>
  <si>
    <t>Morzsi</t>
  </si>
  <si>
    <t>https://youtu.be/byx36iFVp2k</t>
  </si>
  <si>
    <t>Műhelyfilm</t>
  </si>
  <si>
    <t>A pincében anya és apa nagy rendetlenséggel találkozik. A család kutyája, Morzsi, elpusztul. Ezt a két eseményt köti össze ez az igen korai, klasszikus Nocturnal Dog alkotás.</t>
  </si>
  <si>
    <t>A varázsló halála</t>
  </si>
  <si>
    <t>https://youtu.be/srPUdQ6Il7o</t>
  </si>
  <si>
    <t>Dráma</t>
  </si>
  <si>
    <t>Egy testvérpár idősebb tagja kockázatos lépésre szánta el magát. Szerencsésen hazatért, de vajon minden marad a régiben, vagy örökre megváltozik az életük? Csáth Géza művének semmi köze a filmhez, viszont a Jalan Jalan zenei víziója itt fejti ki először a hatását az alkotásainkra.</t>
  </si>
  <si>
    <t>The Minimum Clearance Outline</t>
  </si>
  <si>
    <t>https://youtu.be/nK5TWRSkJrQ</t>
  </si>
  <si>
    <t>Road movie</t>
  </si>
  <si>
    <t>Az általunk frekventált (ma már nem létező) 48 órás filmpályázat short listre került alkotása. Műfaja road movie, de mindenféle jármű nélkül. A filmben egy Dorothy jellegű karaktert követhetünk végig, ahogy egy tükörvilágban maga mellé gyűjtve hasonló sorsú útitársakat végül kimásznak a feledés és elveszettség síkjából.</t>
  </si>
  <si>
    <t>Fényszennyezés</t>
  </si>
  <si>
    <t>https://youtu.be/UCVhZ09MsD4</t>
  </si>
  <si>
    <t>Valami zajlik odakint. Egy csoportnyi gyerek ez elől menekült egy pincehelyiségbe. Vajon örökre csapdába kerültek, vagy megtalálják egyedül innen a kiutat?</t>
  </si>
  <si>
    <t>Három fehér ló</t>
  </si>
  <si>
    <t>Projektek</t>
  </si>
  <si>
    <t>https://youtu.be/fF1MVz1zWrE</t>
  </si>
  <si>
    <t>Két barát összeül sakkozni és iszogatni. Ekkor furcsa dolgok történnek.</t>
  </si>
  <si>
    <t>Kenopsia, opia, lachesism</t>
  </si>
  <si>
    <t>https://youtu.be/Bs1tHvCRx8E</t>
  </si>
  <si>
    <t>Etűd</t>
  </si>
  <si>
    <t>Három szót választottunk, amik bonyolult érzéseket egy szóval írnak le. Kenopsia: egy érzés, ami akkor fog el minket, amikor egy olyan helyen járunk, ami most kihalt, ám a legtöbbször állandó nyüzsgésben látjuk. Opia: amikor a másik szemébe nézünk és egy egyszerre érződik behatoló gesztusnak és egyszerre törékenyek leszünk tőle. Lachesism: amikor titokban arra vágyunk, hogy átéljünk egy katasztrófát, pusztán, hogy túlélhessük. Kísérleti film Philip Glass méltán híres Koyaanisquatsi darabjára.</t>
  </si>
  <si>
    <t>Mr A, Mr K, a Pápa, Izom Tibor és az elnyomottak</t>
  </si>
  <si>
    <t>https://youtu.be/opjXJhNPBO8</t>
  </si>
  <si>
    <t>Kísérleti film</t>
  </si>
  <si>
    <t>Az emberi személyiség komplex dinamikák együtthatásában létezik. A film arra kísérlet, hogy megmutassa, hogy léteznek együtt különböző erők egy személyben.</t>
  </si>
  <si>
    <t>How to Make a Remake</t>
  </si>
  <si>
    <t>https://youtu.be/Fg-T8T7Tr5I</t>
  </si>
  <si>
    <t>Werkfilm</t>
  </si>
  <si>
    <t>A How To Make A Remake című film a 2018-as (akkor még) „bicós-mozis” táborban készült Remake (vagy néha tévesen: Remix) című nyári alkotásunk werkje. A film, amelyről ez a „hogyan készült?” stílusú munka szól, és amely nem került be a fesztiválprogramunkba, egy kevésbé közönségbarát mű visszaemlékezésről, alternatív valóságokról, kapcsolatokról és barátságról. Ádám sokszor jellemzi úgy a filmet, mint jó példa arra, amikor a folyamat jobb volt, mint maga az eredmény. A Remake rövid szinopszisa segíthet megérteni a werket: a táborozók 2018-ban üzeneteket kaptak egy baljós alternatív jövőből, amelyben a már kialakult veszélyt kizárólag a „vörös kutya” megmentésével lehet elkerülni, így üzenetet kell küldeni a múltba.</t>
  </si>
  <si>
    <t>Da Capo</t>
  </si>
  <si>
    <t>https://youtu.be/JpRKm48n0n0?si=bVzJQbK98ZJ70QqI</t>
  </si>
  <si>
    <t>Mozart Requiemének megírásával kapcsolatban több párhuzamos városi legenda is létezik a köztudatban. A BFZ 2018-as "Lásd, amit hallasz" pályázatára készülő alkotásunk a zeneszerző utolsó szimfóniájának mitológiájáról emlékezik meg az első szimfóniája által vezetve.</t>
  </si>
  <si>
    <t>Biztos, hogy tűzálló</t>
  </si>
  <si>
    <t>https://youtu.be/7Zik7dNAwwU</t>
  </si>
  <si>
    <t>Krimi</t>
  </si>
  <si>
    <t>A híradó egy sikertelen elnök elleni merényletről számol be. De mi ment félre? Mi történt az elkövetőkkel?</t>
  </si>
  <si>
    <t>Jó ok a távozásra</t>
  </si>
  <si>
    <t>https://youtu.be/78qHkmMnRnA</t>
  </si>
  <si>
    <t>Egy kiránduló gyerektársaság nem találja a kiutat az erdőből. Se térerő, sem ötlet, hogy merre mehetnének tovább. Csak az erdőben tanyázó fura alakok keresztezik az útjukat.</t>
  </si>
  <si>
    <t>A hős útja...</t>
  </si>
  <si>
    <t>https://youtu.be/ZjxZlqWpILs</t>
  </si>
  <si>
    <t>Trailer</t>
  </si>
  <si>
    <t>Egy hős dacol minden veszéllyel. A bélapátfalvi táborunk "reklámfilmjét" láthatjátok.</t>
  </si>
  <si>
    <t>Hétköznapi szuperhősök (és hogy miért utáljuk őket)</t>
  </si>
  <si>
    <t>https://youtu.be/ZCSH9qDzpOI</t>
  </si>
  <si>
    <t>Áldokumentumfilm</t>
  </si>
  <si>
    <t>Az ember azt gondolná, hogy szuperhősökkel egy fedél alatt élni kifejezetten pozitív, de legalább izgalmas élmény. Sajnos az utóbbi igaz csak a kettő közül: drámában és eseményekben nincs hiány a szuperhősök közös albérletében. Ezeket a hétköznapi konfliktusokat követi végig és örökíti meg a szuperhősöket filmező dokumentumfilmes stáb.</t>
  </si>
  <si>
    <t>Akherón ...és mi lett a pandával?</t>
  </si>
  <si>
    <t>https://youtu.be/_qTjQ7OeDrc</t>
  </si>
  <si>
    <t>Hősünk testvérét elrabolták. A nyomok az alvilág legmélyebb bugyraiba vezetnek. Az Akherón - És a pandával mi lett? díjat nyert a 2021-es diákfilmszemlén.</t>
  </si>
  <si>
    <t>Aeronautika a 21. században</t>
  </si>
  <si>
    <t>https://youtu.be/SUxI2YRGRnU</t>
  </si>
  <si>
    <t>Praedo</t>
  </si>
  <si>
    <t>https://youtu.be/4OTwHdkkoIo</t>
  </si>
  <si>
    <t>Reklám</t>
  </si>
  <si>
    <t>Egy háztartásvezető élete nem könnyű. Ehhez nehéz bármi mást hozzáfűzni. Egyike a rengeteg stílusgyakorlatának a Nocturnal Dog filmműhelynek.</t>
  </si>
  <si>
    <t>Asomik</t>
  </si>
  <si>
    <t>https://youtu.be/s1KhAeIctOw</t>
  </si>
  <si>
    <t>A szentgyőzőházai bányákból származó összetevők közismerten magas folttisztítóhatással rendelkezik. Ez a reklám a helybeli üzemekben készült Asomik mosószert mutatja be. Nekem beválik!</t>
  </si>
  <si>
    <t>Silence in Bjordall</t>
  </si>
  <si>
    <t>https://youtu.be/QQkATp3ZrNE</t>
  </si>
  <si>
    <t>A finn fjordok közelében egy szürke kisváros éli mindennapjait egészen addig, amíg rejtélyes körülmények között nem válik gyilkosság áldozatává Judi. A rejtélyt felgöngyölíteni azonban csupán egy olyan ember képes, aki már rég visszavonult a bűnüldözéstől... Sigmund Vestarsson leghíresebb sorozatának főcímét láthatjuk.</t>
  </si>
  <si>
    <t>Piroska és a Farkas</t>
  </si>
  <si>
    <t>https://youtu.be/oOY_ZimZMC0</t>
  </si>
  <si>
    <t>Rövidfilm/ Kísérleti film</t>
  </si>
  <si>
    <t xml:space="preserve">Közismert mese, talán a világ legismertebbje. Mi is feldolgoztuk, különböző ötleteket, stílusokat vegyítve a történettel. </t>
  </si>
  <si>
    <t>Aratás</t>
  </si>
  <si>
    <t>https://youtu.be/k5C0P4FN7WQ</t>
  </si>
  <si>
    <t>Négy mezőgazdasággal foglalkozó család gyerekei egy tanyán találják magukat. Ezt a helyet valami misztikus erő miatt nem tudják elhagyni, így csapdába kerültek. Egy nap Misire, az egyik legidősebb gyermekre holtan találnak. Ez felborítja az összeverődött családok közötti időleges békét.</t>
  </si>
  <si>
    <t>Ki ez a sok művész?</t>
  </si>
  <si>
    <t>https://youtu.be/093OOQEkEfU</t>
  </si>
  <si>
    <t>Az Újhegyi Waldorf Gimnázium színjátszószakkörének résztvevőit a diákszínjátszó fesztivál után elrabolják, és arra kényszerítik őket a fogvatartók, hogy folytassák az évekkel ezelőtt a műsorról levett kedvenc francia szappanoperájukat. A gyerekek végül egyetlen lehetőséget látnak arra, hogy értelmetlenné tegyék további fogvatartásukat.</t>
  </si>
  <si>
    <t>Greetings from Bjordall</t>
  </si>
  <si>
    <t>https://youtu.be/dgyIO9-bp0g</t>
  </si>
  <si>
    <t>Nyomozó? Drogdíler? Bűnöző? Olaf Guntersson főszereplésével a 2010-es évek közepén megalkották a finnek az északi régió talán egyik legismertebb, legszeretettebb sitcomját. Ennek a főcímét nézhetjük most végig.</t>
  </si>
  <si>
    <t>Jószándék</t>
  </si>
  <si>
    <t>https://www.youtube.com/watch?v=NwJ8VgWiHeU</t>
  </si>
  <si>
    <t>18 éven aluliaknak nem ajánlott. Egy nevelőintézetben nevelkedő gyermek fiatal felnőttként visszatér a már bezárt intézetbe, hogy szembenézzen a múltjával. Filmetűd Arvo Pärt Fratres című darabjára.</t>
  </si>
  <si>
    <t>Kiterítenek úgy is...</t>
  </si>
  <si>
    <t>https://www.youtube.com/watch?v=bBO8fy1W-3A</t>
  </si>
  <si>
    <t>Tan Dun Buddha Passion című alkotásának egy tételére készült 2024 nyarán Magyarszéken ez a filmetűd. Elsődlegesen Ádám munkája, amely a „Kádár dilemmája” anekdotára és morális dilemmára adott válaszként került megfogalmazásra. A film két iteráción keresztül mutatja be egy fausti alku, vagy egy tiltott gyümölcs körüli döntésopciókat. Az örök élet és örök tudás vajon elhozza-e a végtelen boldogságot az ember számára?</t>
  </si>
  <si>
    <t>Kezdetben volt a tett</t>
  </si>
  <si>
    <t>https://youtu.be/0PxBSRa3yVs</t>
  </si>
  <si>
    <t>Az első hivatalosan is pályázatra leadott alkotása a Nocturnal Dog filmműhelynek: a BFZ 2016-os "Lásd, amit hallasz" pályázatára Sosztakovics Hamlet-szvitjére készítettük ezt az alkotást, amely egy Faust-történetet tár a nézők elé különféle kísérleti mozgóképes eszközökkel.</t>
  </si>
  <si>
    <t>Holnap</t>
  </si>
  <si>
    <t>https://youtu.be/OgBC-vPL0W8</t>
  </si>
  <si>
    <t>Horror</t>
  </si>
  <si>
    <t>A világot megrázta a dél-jemeni parazita futótűzként terjedő és mutálódott változata. Ez az organizmus a központi idegrendszer éhséggel kapcsolatos részeit támadta meg, így minden fertőzött egyén kétségbeesetten keresi és zabálja fel az elé kerülő tápanyagforrásokat. Akit azonban a parazita nem észlel zabálónak, rögtön megfertőzi. Emberek egy kisebb csoportja sikeresen tudott kisebb, zárt kolóniákban életben maradni úgy, hogy "majszolóknak" tettették magukat, ezzel elkerülve a parazitafertőzést. Egy ideig. A paranoia azonban egy ilyen világban végzetes lehet.</t>
  </si>
  <si>
    <t>4 szoba</t>
  </si>
  <si>
    <t>TBA</t>
  </si>
  <si>
    <t>Friss rezidens pszichiáter érkezik a klinikára. A fiatal orvosnak fel kell tűrnie az ingujját és munkához kell látnia, hiszen ezeket a klienseket egyáltalán nem könnyű kezelni.</t>
  </si>
  <si>
    <t>Drámaország</t>
  </si>
  <si>
    <t>https://youtu.be/xOJwczfvYmg</t>
  </si>
  <si>
    <t>A Drámaország nevű tábor évek óta sikerrel készíti fel a leendő színészpalántákat a nehéz színiiskolákra és a színpadi életre. Aki ilyen nehéz pályára vágyik, jól teszi, ha megragadja ezeket a lehetőségeket, ahol nagynevű tanároktól lesheti el a mesterség fogásait és közben még jól is érzi magát. Csakhogy a Drámaország nevű táborban a tanárok inkább álságosak, nagyképűek, kihasználják a gyermekek igyekezetét és kiszolgáltatottságát. A közelmúlt híreiből ismerős lehet a képlet. Viszont ebben a történetben a gyerekek a saját kezükbe veszik a sorsukat.</t>
  </si>
  <si>
    <t>Programpont</t>
  </si>
  <si>
    <t>Időtartam (perc)</t>
  </si>
  <si>
    <t>T+</t>
  </si>
  <si>
    <t>Kezdés</t>
  </si>
  <si>
    <t>Vége</t>
  </si>
  <si>
    <t>Köszöntő</t>
  </si>
  <si>
    <t>Ident (Nagy Márk?)</t>
  </si>
  <si>
    <t>Beszélgetés</t>
  </si>
  <si>
    <t>Szünet</t>
  </si>
  <si>
    <t>Fordulatok (Nagy Márk?)</t>
  </si>
  <si>
    <t>Projektek (Kurdics Zoli?)</t>
  </si>
  <si>
    <t>Sötét oldal (Bak Marci?)</t>
  </si>
  <si>
    <t>Zárás</t>
  </si>
  <si>
    <t>RENDELKEZÉSRE ÁLLÓ IDŐ:</t>
  </si>
  <si>
    <t>ALLOKÁLT IDŐ:</t>
  </si>
  <si>
    <t>MARADÉK IDŐ:</t>
  </si>
  <si>
    <t>Sorrend</t>
  </si>
  <si>
    <t>Játékidő</t>
  </si>
  <si>
    <t>Újrarenderelve és mentve</t>
  </si>
  <si>
    <t xml:space="preserve">Újrarenderelve és mentve
</t>
  </si>
  <si>
    <t>Első élmények</t>
  </si>
  <si>
    <t>Mit jelent a Nocturnal Dog</t>
  </si>
  <si>
    <t>Mit emelnék ki a blokkból</t>
  </si>
  <si>
    <t>Ádám</t>
  </si>
  <si>
    <t>Volt egy Aranyelmés csoportom, kiöregedéshez közekedvén közölték, szeretnének tovább járni, de van két kérésük: ne iskolaépületben legyünk, és egy szót se mondjak biológiáról. Mivel a kiöregedő aranyelmések úgy is mindig sok kérdést felvetettek (nem lehetne tovább is foglalkozni velük valamilyen más formában), kitaláltuk, hogy az 1000tea pincéjében megváltjuk a világot szombat délutánonként. Némi drámapedagagógia már belekerült ezekbe az alkalmakba, aztán amikor szóba jött  Campbell, és a "monomyth" elmélet, kitaláltuk, hogy csináljunk egy filmet. Megcsináltuk, élveztük. Következő ősszel indult az első filmes csoportunk Ricsivel.</t>
  </si>
  <si>
    <t>Elsősorban egy nagyon furcsa szociális szövedék, amit pár tucat, nagyon különböző gyerek, fiatal és felnőtt alkot. És kísérletezünk, hogy minél több módon meséljünk, elemezzünk, kérdezzünk. Meggyöződésem, hogy ez művészet. Vállaltan amatőr, útkereső, sokszor naiv, ügyetlen, sőt kifejezetten béna, de az alapján, amit megértettem arról, mit jelent az, hogy művészet, ez az.</t>
  </si>
  <si>
    <t>A "How to make a remake" tökéletes példája szakkörünk legmélyebb dilemmájának: remek hangulatú tábor, kreatív folyamat, remek hangulat, teljes bevonódás, flow, zseniális, minden hatáton túl zseniális egy hét együttlét, szórakozás, és rengeteg munka. A film pedig...egy nagyon-nagyon szerethető emlék, egy remek "insider joke". Ha azonban a hipotetikus vagy akár valós külső közönség szemszögéből próbálom nézni, tartok tőle, nagyon kevés részlet érthető, érvényes, érdekes, ha egyáltalán bármi. És ez feszegeti a kérdést -identitáskérdést - tulajdon éppen mit is akarunk, és mit is tudunk ezzel a csoporttal. Mert első igazi "ident" filmünkkel, a 1435-el letettük a tantuszt valami mellett, ami azóta is kísért, már nem úgy érvényes, de még mindig erősen meghatározó. Nagyon tudjuk, mit nem akarunk csinálni, sejtjük, hogy mit szeretnénk, és próbálunk rájönni, hogyan.</t>
  </si>
  <si>
    <t>Matyi</t>
  </si>
  <si>
    <t xml:space="preserve">Egyetemről sokat jártam át az 1000tea teaházba és sokszor amikor betévedtem azt mondták, hogy "Ádámék lent vannak" - mint hogy tudták, hogy ismerjük egymást. Néha lenéztem a pincébe és akkor láttam az első foglalkozást. 2018 nyarán kérdezett meg Ádám, hogy van-e kedvem foglalkozásokat tartani vele. </t>
  </si>
  <si>
    <t>Egy hely, ahol remélhetőleg mindenki becsatornázhatja a kreatív energiáit valamilyen alkotásba. Ahol lehet és érdemes magas és alacsony művészetről beszélni. Ahol a világ minden dolga érdekes, tűnjön bármilyen távolinak vagy jelentéktelennek kívülről. Ahol próbálunk módokat biztosítani arra, hogy mindenki olyannak élhesse meg magát, ami neki a legjobb.</t>
  </si>
  <si>
    <t>Amire elkészül egy film a Nocturnal Dog foglalkozásokon nagyon sok munkafázison esik át. Egy ötletből, játékból, történetből indítunk és először a végtelenségig tágítjuk az alkotás szövetét, majd összeszűkítjük akkorára, hogy egy külső befogadónak érthető és - esetleg - élvezhető legyen. Viszont így sok olyan dolog, amit mi nagyon szerettünk, értékesnek tartunk, ott marad a foglalkozásokon. Azok a filmek, amik a nevem alatt futó 'Projektek' blokkban vannak, kicsit túlmutatnak azon, amit filmre sikerült vinni. Nekem kedves alkotások, amik mögött sokkal több van, mint amit elsőre megnézésre észre lehet venni.</t>
  </si>
  <si>
    <t xml:space="preserve"> </t>
  </si>
  <si>
    <t>Marci</t>
  </si>
  <si>
    <t xml:space="preserve">Én 2014 végén öregedtem ki az Aranyelméből, ahol azelőtt leginkább Ádám foglalkozásaira jártam. Ez után jött a felvetés Ádám részéről, hogy volna e kedvem továbbra is foglalkozásokra járni, egy másik témában illetve helyszínen. Így mentem el 2016 szeptemberében az első filmes fogallkozásomra az 100TEA pincéjébe. </t>
  </si>
  <si>
    <t>Ha a Noctrunal Dogra gondolok, valami olyan kép jut eszembe (mondhatnám, hogy cinematic photography), ahol egy adag gyerek mindenféle babzsákon, meg kanapén heverve mogyorót eszik, mindenkit fura kellékek vesznek körül és a kép közepén meg 1-2 ember, abbl az egyik biztosan egy nagydarab szakállas, a másik mikor ki. Sokszor nagy a káosz, érthetetlen a folyamat, kicsit amatőr a forgatás, az egész tűnhet egy katyvasznak. Ez a szüzsé. Az amit egy szemlélő láthat belőle. A fabula, a világ ami mögötte van az viszont sokkal több. Az alkotás folyamata önmagában érték, az pedig, hogy eközben egy közösség is kovácsolódik méginkább. A Nocturnal Dog legnagyobb ereje ez, hogy egy nagyon karakteres hangulaton keresztül olyan embereket tud egy közösséggé formálni, akik soha nem találkoznának egyébként, ráadásul a megteremti a lehetőséget arra, hogy közösen alkotva egymás mellett fejlődjünk.</t>
  </si>
  <si>
    <t>Kár lenne tagadni, hogy a filmjeink között nem hemzsegnek a vígjátékok, komédiák. A sötét, olykor nyomasztó, néha csak misztikus légkör az alkotások többségénél jelen megtalálható. Ugyanakkor ennek számtalan arca van. A 'Sötétség' blokk néhány nagyon különböző filmet gyűjt egy csokorba, amik valahogy mind egy bűnnel teli, esetleg apokaliptikus világot mutatnak be. Vagy a szereplők maguk sötétek, de legalább ilyen gyakran az őket körülvevő világ, esetleg a sorsuk, feladatuk. Ugyanakkor mindegyik film nagyon máshogy közelíti ezt meg, más módszerekkel, más hangnemben, más műfajban mutatja be az érme sötét oldalát és ezzel más-más megoldást is kínálnak saját démonaink legyőzésére.</t>
  </si>
  <si>
    <t>Ricsi</t>
  </si>
  <si>
    <t>2015-ben, amikor újra felvettük a fonalat egymással Ádámmal, az Aranyelme Tehetséggondozó Egyesület táborain gondolkodva sokszor szóba került, hogy nagyon szeretnénk nagyobbaknak szóló, drámás-filmes szakkört is csinálni. Ekkor mondta Ádám, hogy ő valami hasonlóba már belekezdett az akkor épp kiöregedő csoportjával. Kolonics Benedek, Szepesi Dániel, Koródi Flóra, Hódosi Kriszti és még páran fogékonyaknak tűntek az ötletre.</t>
  </si>
  <si>
    <t>Egy olyan művészeti alkotóközösségként képzelem el magunkat, ahol mindenféle formális kurrikulumon túl a saját ösvényeinken keresztül találjuk meg a válaszainkat művészetelméleti, elbeszéléselméleti, film- és montázselméleti, és egyéb terület kérdéseire. És önző vagy nem önző, ez nem csupán a résztvevőkről szól, hanem rólunk is, akik szervezik és tartják ezeket az alkalmakat, összefogják a projekteket, hiszen legalább annyit tanulunk mi is, mint a becsatalkozó diákjaink, gyerekek. Így ezt tényleg nehéz leírni máshogy: a Nocturnal Dog egy kreatív közösség.</t>
  </si>
  <si>
    <t>Az általam kurált blokk a "Fordulatok" nevet kapta, amely a viszonylag könnyed koncepcióm szerint a csoport innovációit, újításait ragadná meg. Minden film, amely itt kapott helyet, miután végeztünk velük, és először nézhettem végig izgatottan a gyerekekkel az utolsó renderelést követően, azt éreztem, hogy "igen, megérkeztünk, sikerült állítanunk valamit a filmmel, sikerült építenünk valamit". Az Aratás közülük az egyik legfrissebb ilyen élmény volt: a képeink Nocturnal Dogos képek, a dialógusainkat csodálatosan formálták magukra a színészeink, a történetet pedig már ezer éve el akartuk mesélni, de csak ebben a bizonyos táborban álltak így a csillagok. Nem beszélve arról, hogy Hildur Guðnadóttir menedzsmentje is belement a sok zaklatásom után, hogy hadd használjuk legálisan a művész zenéjét soundtrackként.</t>
  </si>
  <si>
    <t>Vezetéknév</t>
  </si>
  <si>
    <t>Keresztnév</t>
  </si>
  <si>
    <t>Filmek</t>
  </si>
  <si>
    <t xml:space="preserve">Ács </t>
  </si>
  <si>
    <t>Gergő</t>
  </si>
  <si>
    <t>Piroska</t>
  </si>
  <si>
    <t>Aradi</t>
  </si>
  <si>
    <t>Kenopsia, Opia, Lachesism</t>
  </si>
  <si>
    <t>Jó Ok a Távozásra</t>
  </si>
  <si>
    <t>1435 MM</t>
  </si>
  <si>
    <t>Hétköznapi szuperhősök</t>
  </si>
  <si>
    <t>Aeronautica a 21sz.-ban.</t>
  </si>
  <si>
    <t>De capo</t>
  </si>
  <si>
    <t>Balics</t>
  </si>
  <si>
    <t>Andris</t>
  </si>
  <si>
    <t>Barbély</t>
  </si>
  <si>
    <t>Milos</t>
  </si>
  <si>
    <t>Bethlenfalvy</t>
  </si>
  <si>
    <t>Lőrinc</t>
  </si>
  <si>
    <t>Három Fehér Ló</t>
  </si>
  <si>
    <t>Ambrus</t>
  </si>
  <si>
    <t>Blazsovszky</t>
  </si>
  <si>
    <t>Ádi</t>
  </si>
  <si>
    <t>Borsodi (Máté)</t>
  </si>
  <si>
    <t>Borsi</t>
  </si>
  <si>
    <t>Chogyelka</t>
  </si>
  <si>
    <t>Tomi</t>
  </si>
  <si>
    <t>Dénes</t>
  </si>
  <si>
    <t>Dolhay</t>
  </si>
  <si>
    <t>Csongi</t>
  </si>
  <si>
    <t>Biztos, hogy Tűzálló</t>
  </si>
  <si>
    <t>Tündi</t>
  </si>
  <si>
    <t>Erdődi</t>
  </si>
  <si>
    <t>Sándor</t>
  </si>
  <si>
    <t>Gajdátsy</t>
  </si>
  <si>
    <t>Márk</t>
  </si>
  <si>
    <t>Hódosi</t>
  </si>
  <si>
    <t>Kriszti</t>
  </si>
  <si>
    <t>Kajzinger</t>
  </si>
  <si>
    <t>Panka</t>
  </si>
  <si>
    <t>Vince</t>
  </si>
  <si>
    <t>Koródi</t>
  </si>
  <si>
    <t>Flóra</t>
  </si>
  <si>
    <t>L</t>
  </si>
  <si>
    <t>Makara</t>
  </si>
  <si>
    <t>Samu</t>
  </si>
  <si>
    <t>Mónos</t>
  </si>
  <si>
    <t>Peti</t>
  </si>
  <si>
    <t>Nagy</t>
  </si>
  <si>
    <t>Balázs</t>
  </si>
  <si>
    <t>Názer</t>
  </si>
  <si>
    <t>Panni</t>
  </si>
  <si>
    <t>Honap</t>
  </si>
  <si>
    <t>Ondruss</t>
  </si>
  <si>
    <t>Ottrok</t>
  </si>
  <si>
    <t>Vera</t>
  </si>
  <si>
    <t>Rapai</t>
  </si>
  <si>
    <t>Réthly</t>
  </si>
  <si>
    <t>Ármin</t>
  </si>
  <si>
    <t>Révész</t>
  </si>
  <si>
    <t>Zsuzsi</t>
  </si>
  <si>
    <t>Révész-Heuer</t>
  </si>
  <si>
    <t>Jakab</t>
  </si>
  <si>
    <t>Svékus</t>
  </si>
  <si>
    <t>Szabó</t>
  </si>
  <si>
    <t>Villő</t>
  </si>
  <si>
    <t>Székács</t>
  </si>
  <si>
    <t>Gúz</t>
  </si>
  <si>
    <t>Szöllősi</t>
  </si>
  <si>
    <t>Szuromi-Kovács</t>
  </si>
  <si>
    <t>Barci</t>
  </si>
  <si>
    <t>Tarján</t>
  </si>
  <si>
    <t>Terka</t>
  </si>
  <si>
    <t>Ferkó</t>
  </si>
  <si>
    <t>Berci</t>
  </si>
  <si>
    <t>Mici</t>
  </si>
  <si>
    <t>Török</t>
  </si>
  <si>
    <t>Zoli</t>
  </si>
  <si>
    <t>Újházi (?)</t>
  </si>
  <si>
    <t>Váradi</t>
  </si>
  <si>
    <t>Várszegi</t>
  </si>
  <si>
    <t>Máté</t>
  </si>
  <si>
    <t>zz???</t>
  </si>
  <si>
    <t>Bendegúz</t>
  </si>
  <si>
    <t>Pluzsik</t>
  </si>
  <si>
    <t>Jön</t>
  </si>
  <si>
    <t>Talán</t>
  </si>
  <si>
    <t>Nem</t>
  </si>
  <si>
    <t>Nincs visszajelzés</t>
  </si>
  <si>
    <t>CAndris</t>
  </si>
  <si>
    <t>Svékus Ádám</t>
  </si>
  <si>
    <t>Pancsi</t>
  </si>
  <si>
    <t>O. Gergő</t>
  </si>
  <si>
    <t>H. Kriszti</t>
  </si>
  <si>
    <t>O. Vera</t>
  </si>
  <si>
    <t>CTomi</t>
  </si>
  <si>
    <t>BAndris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</si>
</sst>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ss"/>
  </numFmts>
  <fonts count="10">
    <font>
      <sz val="10.0"/>
      <color rgb="FF000000"/>
      <name val="Arial"/>
      <scheme val="minor"/>
    </font>
    <font>
      <color theme="1"/>
      <name val="Arial"/>
      <scheme val="minor"/>
    </font>
    <font>
      <u/>
      <color rgb="FF0000FF"/>
      <name val="Roboto"/>
    </font>
    <font>
      <u/>
      <color rgb="FF0000FF"/>
      <name val="Roboto"/>
    </font>
    <font>
      <u/>
      <color rgb="FF434343"/>
      <name val="Roboto"/>
    </font>
    <font>
      <u/>
      <color rgb="FF0000FF"/>
      <name val="Roboto"/>
    </font>
    <font>
      <b/>
      <i/>
      <color theme="1"/>
      <name val="Arial"/>
      <scheme val="minor"/>
    </font>
    <font>
      <b/>
      <color theme="1"/>
      <name val="Arial"/>
      <scheme val="minor"/>
    </font>
    <font>
      <u/>
      <color rgb="FF0000FF"/>
      <name val="Roboto"/>
    </font>
    <font>
      <color rgb="FF0F0F0F"/>
      <name val="Roboto"/>
    </font>
  </fonts>
  <fills count="13">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00FF00"/>
        <bgColor rgb="FF00FF00"/>
      </patternFill>
    </fill>
    <fill>
      <patternFill patternType="solid">
        <fgColor rgb="FFFF9900"/>
        <bgColor rgb="FFFF9900"/>
      </patternFill>
    </fill>
    <fill>
      <patternFill patternType="solid">
        <fgColor rgb="FF6AA84F"/>
        <bgColor rgb="FF6AA84F"/>
      </patternFill>
    </fill>
    <fill>
      <patternFill patternType="solid">
        <fgColor rgb="FFF6B26B"/>
        <bgColor rgb="FFF6B26B"/>
      </patternFill>
    </fill>
    <fill>
      <patternFill patternType="solid">
        <fgColor rgb="FFCC4125"/>
        <bgColor rgb="FFCC4125"/>
      </patternFill>
    </fill>
    <fill>
      <patternFill patternType="solid">
        <fgColor rgb="FFB7B7B7"/>
        <bgColor rgb="FFB7B7B7"/>
      </patternFill>
    </fill>
    <fill>
      <patternFill patternType="solid">
        <fgColor rgb="FFFCE5CD"/>
        <bgColor rgb="FFFCE5CD"/>
      </patternFill>
    </fill>
    <fill>
      <patternFill patternType="solid">
        <fgColor rgb="FFE6B8AF"/>
        <bgColor rgb="FFE6B8AF"/>
      </patternFill>
    </fill>
    <fill>
      <patternFill patternType="solid">
        <fgColor rgb="FFEFEFEF"/>
        <bgColor rgb="FFEFEFEF"/>
      </patternFill>
    </fill>
  </fills>
  <borders count="1">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49"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3" numFmtId="0" xfId="0" applyAlignment="1" applyFont="1">
      <alignment readingOrder="0" shrinkToFit="0" vertical="center" wrapText="0"/>
    </xf>
    <xf borderId="0" fillId="0" fontId="1" numFmtId="0" xfId="0" applyAlignment="1" applyFont="1">
      <alignment readingOrder="0" shrinkToFit="0" vertical="center" wrapText="0"/>
    </xf>
    <xf borderId="0" fillId="0" fontId="4" numFmtId="0" xfId="0" applyAlignment="1" applyFont="1">
      <alignment readingOrder="0" shrinkToFit="0" vertical="center" wrapText="0"/>
    </xf>
    <xf borderId="0" fillId="0" fontId="1" numFmtId="49"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5"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164" xfId="0" applyAlignment="1" applyFont="1" applyNumberFormat="1">
      <alignment shrinkToFit="0" vertical="center" wrapText="0"/>
    </xf>
    <xf borderId="0" fillId="0" fontId="6"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7" numFmtId="0" xfId="0" applyAlignment="1" applyFont="1">
      <alignment readingOrder="0" shrinkToFit="0" vertical="center" wrapText="0"/>
    </xf>
    <xf borderId="0" fillId="0" fontId="1" numFmtId="0" xfId="0" applyAlignment="1" applyFont="1">
      <alignment readingOrder="0" shrinkToFit="0" wrapText="1"/>
    </xf>
    <xf borderId="0" fillId="0" fontId="1" numFmtId="0" xfId="0" applyAlignment="1" applyFont="1">
      <alignment readingOrder="0"/>
    </xf>
    <xf borderId="0" fillId="0" fontId="1" numFmtId="0" xfId="0" applyFont="1"/>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8" numFmtId="0" xfId="0" applyAlignment="1" applyFont="1">
      <alignment shrinkToFit="0" vertical="center" wrapText="0"/>
    </xf>
    <xf borderId="0" fillId="0" fontId="1" numFmtId="0" xfId="0" applyAlignment="1" applyFont="1">
      <alignment horizontal="center"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2" fontId="7" numFmtId="0" xfId="0" applyAlignment="1" applyFill="1" applyFont="1">
      <alignment readingOrder="0"/>
    </xf>
    <xf borderId="0" fillId="2" fontId="1" numFmtId="0" xfId="0" applyAlignment="1" applyFont="1">
      <alignment readingOrder="0" shrinkToFit="0" wrapText="1"/>
    </xf>
    <xf borderId="0" fillId="3" fontId="9" numFmtId="0" xfId="0" applyAlignment="1" applyFill="1" applyFont="1">
      <alignment readingOrder="0" shrinkToFit="0" wrapText="0"/>
    </xf>
    <xf borderId="0" fillId="4" fontId="1" numFmtId="0" xfId="0" applyAlignment="1" applyFill="1" applyFont="1">
      <alignment readingOrder="0"/>
    </xf>
    <xf borderId="0" fillId="0" fontId="1" numFmtId="49" xfId="0" applyAlignment="1" applyFont="1" applyNumberFormat="1">
      <alignment readingOrder="0" shrinkToFit="0" wrapText="0"/>
    </xf>
    <xf borderId="0" fillId="5" fontId="1" numFmtId="0" xfId="0" applyAlignment="1" applyFill="1" applyFont="1">
      <alignment readingOrder="0"/>
    </xf>
    <xf borderId="0" fillId="0" fontId="1" numFmtId="49" xfId="0" applyAlignment="1" applyFont="1" applyNumberFormat="1">
      <alignment readingOrder="0"/>
    </xf>
    <xf borderId="0" fillId="6" fontId="1" numFmtId="0" xfId="0" applyAlignment="1" applyFill="1" applyFont="1">
      <alignment readingOrder="0"/>
    </xf>
    <xf borderId="0" fillId="7" fontId="1" numFmtId="0" xfId="0" applyAlignment="1" applyFill="1" applyFont="1">
      <alignment readingOrder="0"/>
    </xf>
    <xf borderId="0" fillId="8" fontId="1" numFmtId="0" xfId="0" applyAlignment="1" applyFill="1" applyFont="1">
      <alignment readingOrder="0"/>
    </xf>
    <xf borderId="0" fillId="9" fontId="1" numFmtId="0" xfId="0" applyAlignment="1" applyFill="1" applyFont="1">
      <alignment readingOrder="0"/>
    </xf>
    <xf borderId="0" fillId="2" fontId="1" numFmtId="0" xfId="0" applyAlignment="1" applyFont="1">
      <alignment readingOrder="0"/>
    </xf>
    <xf borderId="0" fillId="10" fontId="1" numFmtId="0" xfId="0" applyAlignment="1" applyFill="1" applyFont="1">
      <alignment readingOrder="0"/>
    </xf>
    <xf borderId="0" fillId="11" fontId="1" numFmtId="0" xfId="0" applyAlignment="1" applyFill="1" applyFont="1">
      <alignment readingOrder="0"/>
    </xf>
    <xf borderId="0" fillId="12" fontId="1" numFmtId="0" xfId="0" applyFill="1" applyFont="1"/>
    <xf borderId="0" fillId="10" fontId="1" numFmtId="0" xfId="0" applyFont="1"/>
    <xf borderId="0" fillId="11" fontId="1" numFmtId="0" xfId="0" applyFont="1"/>
    <xf borderId="0" fillId="2" fontId="1"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6">
    <tableStyle count="4" pivot="0" name="Filmösszesítő-style">
      <tableStyleElement dxfId="1" type="headerRow"/>
      <tableStyleElement dxfId="2" type="firstRowStripe"/>
      <tableStyleElement dxfId="3" type="secondRowStripe"/>
      <tableStyleElement dxfId="4" size="0" type="wholeTable"/>
    </tableStyle>
    <tableStyle count="4" pivot="0" name="Programösszesítő-style">
      <tableStyleElement dxfId="1" type="headerRow"/>
      <tableStyleElement dxfId="2" type="firstRowStripe"/>
      <tableStyleElement dxfId="3" type="secondRowStripe"/>
      <tableStyleElement dxfId="4" size="0" type="wholeTable"/>
    </tableStyle>
    <tableStyle count="4" pivot="0" name="Ident (Ádám)-style">
      <tableStyleElement dxfId="1" type="headerRow"/>
      <tableStyleElement dxfId="2" type="firstRowStripe"/>
      <tableStyleElement dxfId="3" type="secondRowStripe"/>
      <tableStyleElement dxfId="4" size="0" type="wholeTable"/>
    </tableStyle>
    <tableStyle count="4" pivot="0" name="Fordulatok (Ricsi)-style">
      <tableStyleElement dxfId="1" type="headerRow"/>
      <tableStyleElement dxfId="2" type="firstRowStripe"/>
      <tableStyleElement dxfId="3" type="secondRowStripe"/>
      <tableStyleElement dxfId="4" size="0" type="wholeTable"/>
    </tableStyle>
    <tableStyle count="4" pivot="0" name="Projektek (Matyi)-style">
      <tableStyleElement dxfId="1" type="headerRow"/>
      <tableStyleElement dxfId="2" type="firstRowStripe"/>
      <tableStyleElement dxfId="3" type="secondRowStripe"/>
      <tableStyleElement dxfId="4" size="0" type="wholeTable"/>
    </tableStyle>
    <tableStyle count="4" pivot="0" name="Sötét oldal (Marci)-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32" displayName="Filmösszesítő" name="Filmösszesítő" id="1">
  <tableColumns count="8">
    <tableColumn name="Cím" id="1"/>
    <tableColumn name="Játékidő (perc)" id="2"/>
    <tableColumn name="Blokk" id="3"/>
    <tableColumn name="Link" id="4"/>
    <tableColumn name="Év" id="5"/>
    <tableColumn name="Műfaj" id="6"/>
    <tableColumn name="Leírás" id="7"/>
    <tableColumn name="Sorszám" id="8"/>
  </tableColumns>
  <tableStyleInfo name="Filmösszesítő-style" showColumnStripes="0" showFirstColumn="1" showLastColumn="1" showRowStripes="1"/>
</table>
</file>

<file path=xl/tables/table2.xml><?xml version="1.0" encoding="utf-8"?>
<table xmlns="http://schemas.openxmlformats.org/spreadsheetml/2006/main" ref="A1:E14" displayName="Programösszesítő" name="Programösszesítő" id="2">
  <tableColumns count="5">
    <tableColumn name="Programpont" id="1"/>
    <tableColumn name="Időtartam (perc)" id="2"/>
    <tableColumn name="T+" id="3"/>
    <tableColumn name="Kezdés" id="4"/>
    <tableColumn name="Vége" id="5"/>
  </tableColumns>
  <tableStyleInfo name="Programösszesítő-style" showColumnStripes="0" showFirstColumn="1" showLastColumn="1" showRowStripes="1"/>
</table>
</file>

<file path=xl/tables/table3.xml><?xml version="1.0" encoding="utf-8"?>
<table xmlns="http://schemas.openxmlformats.org/spreadsheetml/2006/main" ref="A1:F15" displayName="Ident_blokk" name="Ident_blokk" id="3">
  <tableColumns count="6">
    <tableColumn name="Sorrend" id="1"/>
    <tableColumn name="Cím" id="2"/>
    <tableColumn name="Játékidő" id="3"/>
    <tableColumn name="Link" id="4"/>
    <tableColumn name="Év" id="5"/>
    <tableColumn name="Újrarenderelve és mentve" id="6"/>
  </tableColumns>
  <tableStyleInfo name="Ident (Ádám)-style" showColumnStripes="0" showFirstColumn="1" showLastColumn="1" showRowStripes="1"/>
</table>
</file>

<file path=xl/tables/table4.xml><?xml version="1.0" encoding="utf-8"?>
<table xmlns="http://schemas.openxmlformats.org/spreadsheetml/2006/main" ref="A1:F13" displayName="Fordulatok" name="Fordulatok" id="4">
  <tableColumns count="6">
    <tableColumn name="Sorrend" id="1"/>
    <tableColumn name="Cím" id="2"/>
    <tableColumn name="Játékidő" id="3"/>
    <tableColumn name="Link" id="4"/>
    <tableColumn name="Év" id="5"/>
    <tableColumn name="Újrarenderelve és mentve_x000a_" id="6"/>
  </tableColumns>
  <tableStyleInfo name="Fordulatok (Ricsi)-style" showColumnStripes="0" showFirstColumn="1" showLastColumn="1" showRowStripes="1"/>
</table>
</file>

<file path=xl/tables/table5.xml><?xml version="1.0" encoding="utf-8"?>
<table xmlns="http://schemas.openxmlformats.org/spreadsheetml/2006/main" ref="A1:F15" displayName="Matyi" name="Matyi" id="5">
  <tableColumns count="6">
    <tableColumn name="Sorrend" id="1"/>
    <tableColumn name="Cím" id="2"/>
    <tableColumn name="Játékidő" id="3"/>
    <tableColumn name="Link" id="4"/>
    <tableColumn name="Év" id="5"/>
    <tableColumn name="Újrarenderelve és mentve" id="6"/>
  </tableColumns>
  <tableStyleInfo name="Projektek (Matyi)-style" showColumnStripes="0" showFirstColumn="1" showLastColumn="1" showRowStripes="1"/>
</table>
</file>

<file path=xl/tables/table6.xml><?xml version="1.0" encoding="utf-8"?>
<table xmlns="http://schemas.openxmlformats.org/spreadsheetml/2006/main" ref="A1:F15" displayName="Marci" name="Marci" id="6">
  <tableColumns count="6">
    <tableColumn name="Sorrend" id="1"/>
    <tableColumn name="Cím" id="2"/>
    <tableColumn name="Játékidő" id="3"/>
    <tableColumn name="Link" id="4"/>
    <tableColumn name="Év" id="5"/>
    <tableColumn name="Újrarenderelve és mentve" id="6"/>
  </tableColumns>
  <tableStyleInfo name="Sötét oldal (Marci)-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youtu.be/s1KhAeIctOw" TargetMode="External"/><Relationship Id="rId22" Type="http://schemas.openxmlformats.org/officeDocument/2006/relationships/hyperlink" Target="https://youtu.be/oOY_ZimZMC0" TargetMode="External"/><Relationship Id="rId21" Type="http://schemas.openxmlformats.org/officeDocument/2006/relationships/hyperlink" Target="https://youtu.be/QQkATp3ZrNE" TargetMode="External"/><Relationship Id="rId24" Type="http://schemas.openxmlformats.org/officeDocument/2006/relationships/hyperlink" Target="https://youtu.be/093OOQEkEfU" TargetMode="External"/><Relationship Id="rId23" Type="http://schemas.openxmlformats.org/officeDocument/2006/relationships/hyperlink" Target="https://youtu.be/k5C0P4FN7WQ" TargetMode="External"/><Relationship Id="rId1" Type="http://schemas.openxmlformats.org/officeDocument/2006/relationships/hyperlink" Target="https://youtu.be/mrjREvSq28A" TargetMode="External"/><Relationship Id="rId2" Type="http://schemas.openxmlformats.org/officeDocument/2006/relationships/hyperlink" Target="https://youtu.be/dLq1gBb8lSc" TargetMode="External"/><Relationship Id="rId3" Type="http://schemas.openxmlformats.org/officeDocument/2006/relationships/hyperlink" Target="https://youtu.be/DZnKJDzESfI" TargetMode="External"/><Relationship Id="rId4" Type="http://schemas.openxmlformats.org/officeDocument/2006/relationships/hyperlink" Target="https://youtu.be/byx36iFVp2k" TargetMode="External"/><Relationship Id="rId9" Type="http://schemas.openxmlformats.org/officeDocument/2006/relationships/hyperlink" Target="https://youtu.be/Bs1tHvCRx8E" TargetMode="External"/><Relationship Id="rId26" Type="http://schemas.openxmlformats.org/officeDocument/2006/relationships/hyperlink" Target="https://www.youtube.com/watch?v=NwJ8VgWiHeU" TargetMode="External"/><Relationship Id="rId25" Type="http://schemas.openxmlformats.org/officeDocument/2006/relationships/hyperlink" Target="https://youtu.be/dgyIO9-bp0g" TargetMode="External"/><Relationship Id="rId28" Type="http://schemas.openxmlformats.org/officeDocument/2006/relationships/hyperlink" Target="https://youtu.be/0PxBSRa3yVs" TargetMode="External"/><Relationship Id="rId27" Type="http://schemas.openxmlformats.org/officeDocument/2006/relationships/hyperlink" Target="https://www.youtube.com/watch?v=bBO8fy1W-3A" TargetMode="External"/><Relationship Id="rId5" Type="http://schemas.openxmlformats.org/officeDocument/2006/relationships/hyperlink" Target="https://youtu.be/srPUdQ6Il7o" TargetMode="External"/><Relationship Id="rId6" Type="http://schemas.openxmlformats.org/officeDocument/2006/relationships/hyperlink" Target="https://youtu.be/nK5TWRSkJrQ" TargetMode="External"/><Relationship Id="rId29" Type="http://schemas.openxmlformats.org/officeDocument/2006/relationships/hyperlink" Target="https://youtu.be/OgBC-vPL0W8" TargetMode="External"/><Relationship Id="rId7" Type="http://schemas.openxmlformats.org/officeDocument/2006/relationships/hyperlink" Target="https://youtu.be/UCVhZ09MsD4" TargetMode="External"/><Relationship Id="rId8" Type="http://schemas.openxmlformats.org/officeDocument/2006/relationships/hyperlink" Target="https://youtu.be/fF1MVz1zWrE" TargetMode="External"/><Relationship Id="rId31" Type="http://schemas.openxmlformats.org/officeDocument/2006/relationships/drawing" Target="../drawings/drawing1.xml"/><Relationship Id="rId30" Type="http://schemas.openxmlformats.org/officeDocument/2006/relationships/hyperlink" Target="https://youtu.be/xOJwczfvYmg" TargetMode="External"/><Relationship Id="rId11" Type="http://schemas.openxmlformats.org/officeDocument/2006/relationships/hyperlink" Target="https://youtu.be/Fg-T8T7Tr5I" TargetMode="External"/><Relationship Id="rId33" Type="http://schemas.openxmlformats.org/officeDocument/2006/relationships/table" Target="../tables/table1.xml"/><Relationship Id="rId10" Type="http://schemas.openxmlformats.org/officeDocument/2006/relationships/hyperlink" Target="https://youtu.be/opjXJhNPBO8" TargetMode="External"/><Relationship Id="rId13" Type="http://schemas.openxmlformats.org/officeDocument/2006/relationships/hyperlink" Target="https://youtu.be/7Zik7dNAwwU" TargetMode="External"/><Relationship Id="rId12" Type="http://schemas.openxmlformats.org/officeDocument/2006/relationships/hyperlink" Target="https://youtu.be/JpRKm48n0n0?si=bVzJQbK98ZJ70QqI" TargetMode="External"/><Relationship Id="rId15" Type="http://schemas.openxmlformats.org/officeDocument/2006/relationships/hyperlink" Target="https://youtu.be/ZjxZlqWpILs" TargetMode="External"/><Relationship Id="rId14" Type="http://schemas.openxmlformats.org/officeDocument/2006/relationships/hyperlink" Target="https://youtu.be/78qHkmMnRnA" TargetMode="External"/><Relationship Id="rId17" Type="http://schemas.openxmlformats.org/officeDocument/2006/relationships/hyperlink" Target="https://youtu.be/_qTjQ7OeDrc" TargetMode="External"/><Relationship Id="rId16" Type="http://schemas.openxmlformats.org/officeDocument/2006/relationships/hyperlink" Target="https://youtu.be/ZCSH9qDzpOI" TargetMode="External"/><Relationship Id="rId19" Type="http://schemas.openxmlformats.org/officeDocument/2006/relationships/hyperlink" Target="https://youtu.be/4OTwHdkkoIo" TargetMode="External"/><Relationship Id="rId18" Type="http://schemas.openxmlformats.org/officeDocument/2006/relationships/hyperlink" Target="https://youtu.be/SUxI2YRGRnU"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9.88"/>
    <col customWidth="1" min="2" max="2" width="15.5"/>
    <col customWidth="1" min="3" max="3" width="22.63"/>
    <col customWidth="1" min="4" max="4" width="42.5"/>
    <col customWidth="1" min="5" max="5" width="12.88"/>
    <col customWidth="1" min="6" max="6" width="18.25"/>
    <col customWidth="1" min="7" max="7" width="81.63"/>
  </cols>
  <sheetData>
    <row r="1">
      <c r="A1" s="1" t="s">
        <v>0</v>
      </c>
      <c r="B1" s="1" t="s">
        <v>1</v>
      </c>
      <c r="C1" s="1" t="s">
        <v>2</v>
      </c>
      <c r="D1" s="2" t="s">
        <v>3</v>
      </c>
      <c r="E1" s="2" t="s">
        <v>4</v>
      </c>
      <c r="F1" s="2" t="s">
        <v>5</v>
      </c>
      <c r="G1" s="3" t="s">
        <v>6</v>
      </c>
      <c r="H1" s="2" t="s">
        <v>7</v>
      </c>
    </row>
    <row r="2">
      <c r="A2" s="4" t="s">
        <v>8</v>
      </c>
      <c r="B2" s="5">
        <v>20.0</v>
      </c>
      <c r="C2" s="6" t="s">
        <v>9</v>
      </c>
      <c r="D2" s="7" t="s">
        <v>10</v>
      </c>
      <c r="E2" s="8">
        <v>2016.0</v>
      </c>
      <c r="F2" s="8" t="s">
        <v>11</v>
      </c>
      <c r="G2" s="9" t="s">
        <v>12</v>
      </c>
      <c r="H2" s="5">
        <v>3.0</v>
      </c>
    </row>
    <row r="3">
      <c r="A3" s="4" t="s">
        <v>13</v>
      </c>
      <c r="B3" s="5">
        <v>7.75</v>
      </c>
      <c r="C3" s="6" t="s">
        <v>14</v>
      </c>
      <c r="D3" s="7" t="s">
        <v>15</v>
      </c>
      <c r="E3" s="8">
        <v>2016.0</v>
      </c>
      <c r="F3" s="8" t="s">
        <v>16</v>
      </c>
      <c r="G3" s="10" t="s">
        <v>17</v>
      </c>
      <c r="H3" s="5">
        <v>2.0</v>
      </c>
    </row>
    <row r="4">
      <c r="A4" s="4" t="s">
        <v>18</v>
      </c>
      <c r="B4" s="5">
        <v>25.0</v>
      </c>
      <c r="C4" s="6" t="s">
        <v>19</v>
      </c>
      <c r="D4" s="11" t="s">
        <v>20</v>
      </c>
      <c r="E4" s="8">
        <v>2025.0</v>
      </c>
      <c r="F4" s="8" t="s">
        <v>11</v>
      </c>
      <c r="G4" s="10" t="s">
        <v>21</v>
      </c>
      <c r="H4" s="5">
        <v>6.0</v>
      </c>
    </row>
    <row r="5">
      <c r="A5" s="4" t="s">
        <v>22</v>
      </c>
      <c r="B5" s="5">
        <v>2.63</v>
      </c>
      <c r="C5" s="6" t="s">
        <v>9</v>
      </c>
      <c r="D5" s="11" t="s">
        <v>23</v>
      </c>
      <c r="E5" s="8">
        <v>2016.0</v>
      </c>
      <c r="F5" s="8" t="s">
        <v>24</v>
      </c>
      <c r="G5" s="10" t="s">
        <v>25</v>
      </c>
      <c r="H5" s="5">
        <v>5.0</v>
      </c>
    </row>
    <row r="6">
      <c r="A6" s="4" t="s">
        <v>26</v>
      </c>
      <c r="B6" s="5">
        <v>1.98</v>
      </c>
      <c r="C6" s="6" t="s">
        <v>9</v>
      </c>
      <c r="D6" s="11" t="s">
        <v>27</v>
      </c>
      <c r="E6" s="8">
        <v>2016.0</v>
      </c>
      <c r="F6" s="8" t="s">
        <v>28</v>
      </c>
      <c r="G6" s="10" t="s">
        <v>29</v>
      </c>
      <c r="H6" s="5">
        <v>9.0</v>
      </c>
    </row>
    <row r="7">
      <c r="A7" s="4" t="s">
        <v>30</v>
      </c>
      <c r="B7" s="5">
        <v>8.0</v>
      </c>
      <c r="C7" s="6" t="s">
        <v>14</v>
      </c>
      <c r="D7" s="7" t="s">
        <v>31</v>
      </c>
      <c r="E7" s="8">
        <v>2017.0</v>
      </c>
      <c r="F7" s="8" t="s">
        <v>32</v>
      </c>
      <c r="G7" s="10" t="s">
        <v>33</v>
      </c>
      <c r="H7" s="5">
        <v>5.0</v>
      </c>
    </row>
    <row r="8">
      <c r="A8" s="4" t="s">
        <v>34</v>
      </c>
      <c r="B8" s="5">
        <v>5.65</v>
      </c>
      <c r="C8" s="6" t="s">
        <v>19</v>
      </c>
      <c r="D8" s="11" t="s">
        <v>35</v>
      </c>
      <c r="E8" s="8">
        <v>2017.0</v>
      </c>
      <c r="F8" s="8" t="s">
        <v>11</v>
      </c>
      <c r="G8" s="10" t="s">
        <v>36</v>
      </c>
      <c r="H8" s="5">
        <v>4.0</v>
      </c>
    </row>
    <row r="9">
      <c r="A9" s="4" t="s">
        <v>37</v>
      </c>
      <c r="B9" s="12">
        <v>3.96</v>
      </c>
      <c r="C9" s="6" t="s">
        <v>38</v>
      </c>
      <c r="D9" s="13" t="s">
        <v>39</v>
      </c>
      <c r="E9" s="8">
        <v>2018.0</v>
      </c>
      <c r="F9" s="8" t="s">
        <v>11</v>
      </c>
      <c r="G9" s="10" t="s">
        <v>40</v>
      </c>
      <c r="H9" s="5">
        <v>2.0</v>
      </c>
    </row>
    <row r="10">
      <c r="A10" s="14" t="s">
        <v>41</v>
      </c>
      <c r="B10" s="5">
        <v>5.92</v>
      </c>
      <c r="C10" s="6" t="s">
        <v>38</v>
      </c>
      <c r="D10" s="7" t="s">
        <v>42</v>
      </c>
      <c r="E10" s="8">
        <v>2018.0</v>
      </c>
      <c r="F10" s="8" t="s">
        <v>43</v>
      </c>
      <c r="G10" s="10" t="s">
        <v>44</v>
      </c>
      <c r="H10" s="5">
        <v>3.0</v>
      </c>
    </row>
    <row r="11">
      <c r="A11" s="14" t="s">
        <v>45</v>
      </c>
      <c r="B11" s="5">
        <v>5.2</v>
      </c>
      <c r="C11" s="6" t="s">
        <v>38</v>
      </c>
      <c r="D11" s="7" t="s">
        <v>46</v>
      </c>
      <c r="E11" s="8">
        <v>2018.0</v>
      </c>
      <c r="F11" s="8" t="s">
        <v>47</v>
      </c>
      <c r="G11" s="10" t="s">
        <v>48</v>
      </c>
      <c r="H11" s="5">
        <v>4.0</v>
      </c>
    </row>
    <row r="12">
      <c r="A12" s="4" t="s">
        <v>49</v>
      </c>
      <c r="B12" s="5">
        <v>14.37</v>
      </c>
      <c r="C12" s="6" t="s">
        <v>9</v>
      </c>
      <c r="D12" s="7" t="s">
        <v>50</v>
      </c>
      <c r="E12" s="8">
        <v>2018.0</v>
      </c>
      <c r="F12" s="8" t="s">
        <v>51</v>
      </c>
      <c r="G12" s="9" t="s">
        <v>52</v>
      </c>
      <c r="H12" s="5">
        <v>2.0</v>
      </c>
    </row>
    <row r="13">
      <c r="A13" s="4" t="s">
        <v>53</v>
      </c>
      <c r="B13" s="5">
        <v>5.0</v>
      </c>
      <c r="C13" s="6" t="s">
        <v>38</v>
      </c>
      <c r="D13" s="11" t="s">
        <v>54</v>
      </c>
      <c r="E13" s="8">
        <v>2018.0</v>
      </c>
      <c r="F13" s="8" t="s">
        <v>43</v>
      </c>
      <c r="G13" s="10" t="s">
        <v>55</v>
      </c>
      <c r="H13" s="5">
        <v>7.0</v>
      </c>
    </row>
    <row r="14">
      <c r="A14" s="4" t="s">
        <v>56</v>
      </c>
      <c r="B14" s="5">
        <v>3.43</v>
      </c>
      <c r="C14" s="6" t="s">
        <v>19</v>
      </c>
      <c r="D14" s="13" t="s">
        <v>57</v>
      </c>
      <c r="E14" s="8">
        <v>2018.0</v>
      </c>
      <c r="F14" s="8" t="s">
        <v>58</v>
      </c>
      <c r="G14" s="10" t="s">
        <v>59</v>
      </c>
      <c r="H14" s="5">
        <v>2.0</v>
      </c>
    </row>
    <row r="15">
      <c r="A15" s="4" t="s">
        <v>60</v>
      </c>
      <c r="B15" s="5">
        <v>13.2</v>
      </c>
      <c r="C15" s="6" t="s">
        <v>9</v>
      </c>
      <c r="D15" s="7" t="s">
        <v>61</v>
      </c>
      <c r="E15" s="8">
        <v>2019.0</v>
      </c>
      <c r="F15" s="8" t="s">
        <v>11</v>
      </c>
      <c r="G15" s="10" t="s">
        <v>62</v>
      </c>
      <c r="H15" s="5">
        <v>7.0</v>
      </c>
    </row>
    <row r="16">
      <c r="A16" s="4" t="s">
        <v>63</v>
      </c>
      <c r="B16" s="5">
        <v>0.88</v>
      </c>
      <c r="C16" s="6" t="s">
        <v>9</v>
      </c>
      <c r="D16" s="11" t="s">
        <v>64</v>
      </c>
      <c r="E16" s="8">
        <v>2019.0</v>
      </c>
      <c r="F16" s="8" t="s">
        <v>65</v>
      </c>
      <c r="G16" s="10" t="s">
        <v>66</v>
      </c>
      <c r="H16" s="5">
        <v>6.0</v>
      </c>
    </row>
    <row r="17">
      <c r="A17" s="4" t="s">
        <v>67</v>
      </c>
      <c r="B17" s="5">
        <v>29.62</v>
      </c>
      <c r="C17" s="6" t="s">
        <v>38</v>
      </c>
      <c r="D17" s="7" t="s">
        <v>68</v>
      </c>
      <c r="E17" s="8">
        <v>2020.0</v>
      </c>
      <c r="F17" s="8" t="s">
        <v>69</v>
      </c>
      <c r="G17" s="10" t="s">
        <v>70</v>
      </c>
      <c r="H17" s="5">
        <v>8.0</v>
      </c>
    </row>
    <row r="18">
      <c r="A18" s="4" t="s">
        <v>71</v>
      </c>
      <c r="B18" s="5">
        <v>12.0</v>
      </c>
      <c r="C18" s="6" t="s">
        <v>9</v>
      </c>
      <c r="D18" s="7" t="s">
        <v>72</v>
      </c>
      <c r="E18" s="8">
        <v>2021.0</v>
      </c>
      <c r="F18" s="8" t="s">
        <v>47</v>
      </c>
      <c r="G18" s="10" t="s">
        <v>73</v>
      </c>
      <c r="H18" s="5">
        <v>8.0</v>
      </c>
    </row>
    <row r="19">
      <c r="A19" s="4" t="s">
        <v>74</v>
      </c>
      <c r="B19" s="5">
        <v>6.75</v>
      </c>
      <c r="C19" s="15"/>
      <c r="D19" s="13" t="s">
        <v>75</v>
      </c>
      <c r="E19" s="8">
        <v>2016.0</v>
      </c>
      <c r="F19" s="16"/>
      <c r="G19" s="17"/>
      <c r="H19" s="18"/>
    </row>
    <row r="20">
      <c r="A20" s="4" t="s">
        <v>76</v>
      </c>
      <c r="B20" s="5">
        <v>0.6</v>
      </c>
      <c r="C20" s="6" t="s">
        <v>9</v>
      </c>
      <c r="D20" s="11" t="s">
        <v>77</v>
      </c>
      <c r="E20" s="8">
        <v>2021.0</v>
      </c>
      <c r="F20" s="8" t="s">
        <v>78</v>
      </c>
      <c r="G20" s="9" t="s">
        <v>79</v>
      </c>
      <c r="H20" s="5">
        <v>1.0</v>
      </c>
    </row>
    <row r="21">
      <c r="A21" s="4" t="s">
        <v>80</v>
      </c>
      <c r="B21" s="5">
        <v>0.72</v>
      </c>
      <c r="C21" s="6" t="s">
        <v>14</v>
      </c>
      <c r="D21" s="11" t="s">
        <v>81</v>
      </c>
      <c r="E21" s="8">
        <v>2021.0</v>
      </c>
      <c r="F21" s="8" t="s">
        <v>78</v>
      </c>
      <c r="G21" s="10" t="s">
        <v>82</v>
      </c>
      <c r="H21" s="5">
        <v>1.0</v>
      </c>
    </row>
    <row r="22">
      <c r="A22" s="4" t="s">
        <v>83</v>
      </c>
      <c r="B22" s="5">
        <v>1.05</v>
      </c>
      <c r="C22" s="6" t="s">
        <v>38</v>
      </c>
      <c r="D22" s="11" t="s">
        <v>84</v>
      </c>
      <c r="E22" s="8">
        <v>2021.0</v>
      </c>
      <c r="F22" s="8" t="s">
        <v>65</v>
      </c>
      <c r="G22" s="10" t="s">
        <v>85</v>
      </c>
      <c r="H22" s="5">
        <v>1.0</v>
      </c>
    </row>
    <row r="23">
      <c r="A23" s="4" t="s">
        <v>86</v>
      </c>
      <c r="B23" s="5">
        <v>16.78</v>
      </c>
      <c r="C23" s="6" t="s">
        <v>19</v>
      </c>
      <c r="D23" s="11" t="s">
        <v>87</v>
      </c>
      <c r="E23" s="8">
        <v>2019.0</v>
      </c>
      <c r="F23" s="8" t="s">
        <v>88</v>
      </c>
      <c r="G23" s="10" t="s">
        <v>89</v>
      </c>
      <c r="H23" s="5">
        <v>5.0</v>
      </c>
    </row>
    <row r="24">
      <c r="A24" s="4" t="s">
        <v>90</v>
      </c>
      <c r="B24" s="5">
        <v>30.28</v>
      </c>
      <c r="C24" s="6" t="s">
        <v>14</v>
      </c>
      <c r="D24" s="7" t="s">
        <v>91</v>
      </c>
      <c r="E24" s="8">
        <v>2022.0</v>
      </c>
      <c r="F24" s="8" t="s">
        <v>11</v>
      </c>
      <c r="G24" s="10" t="s">
        <v>92</v>
      </c>
      <c r="H24" s="5">
        <v>4.0</v>
      </c>
    </row>
    <row r="25">
      <c r="A25" s="4" t="s">
        <v>93</v>
      </c>
      <c r="B25" s="5">
        <v>25.8</v>
      </c>
      <c r="C25" s="6" t="s">
        <v>14</v>
      </c>
      <c r="D25" s="7" t="s">
        <v>94</v>
      </c>
      <c r="E25" s="8">
        <v>2023.0</v>
      </c>
      <c r="F25" s="8" t="s">
        <v>11</v>
      </c>
      <c r="G25" s="10" t="s">
        <v>95</v>
      </c>
      <c r="H25" s="5">
        <v>3.0</v>
      </c>
    </row>
    <row r="26">
      <c r="A26" s="4" t="s">
        <v>96</v>
      </c>
      <c r="B26" s="5">
        <v>1.07</v>
      </c>
      <c r="C26" s="6" t="s">
        <v>19</v>
      </c>
      <c r="D26" s="11" t="s">
        <v>97</v>
      </c>
      <c r="E26" s="8">
        <v>2021.0</v>
      </c>
      <c r="F26" s="8" t="s">
        <v>65</v>
      </c>
      <c r="G26" s="10" t="s">
        <v>98</v>
      </c>
      <c r="H26" s="5">
        <v>1.0</v>
      </c>
    </row>
    <row r="27">
      <c r="A27" s="4" t="s">
        <v>99</v>
      </c>
      <c r="B27" s="5">
        <v>5.5</v>
      </c>
      <c r="C27" s="6" t="s">
        <v>38</v>
      </c>
      <c r="D27" s="11" t="s">
        <v>100</v>
      </c>
      <c r="E27" s="8">
        <v>2024.0</v>
      </c>
      <c r="F27" s="8" t="s">
        <v>43</v>
      </c>
      <c r="G27" s="10" t="s">
        <v>101</v>
      </c>
      <c r="H27" s="5">
        <v>6.0</v>
      </c>
    </row>
    <row r="28">
      <c r="A28" s="4" t="s">
        <v>102</v>
      </c>
      <c r="B28" s="5">
        <v>5.66</v>
      </c>
      <c r="C28" s="6" t="s">
        <v>9</v>
      </c>
      <c r="D28" s="11" t="s">
        <v>103</v>
      </c>
      <c r="E28" s="8">
        <v>2024.0</v>
      </c>
      <c r="F28" s="8" t="s">
        <v>43</v>
      </c>
      <c r="G28" s="9" t="s">
        <v>104</v>
      </c>
      <c r="H28" s="5">
        <v>4.0</v>
      </c>
    </row>
    <row r="29">
      <c r="A29" s="14" t="s">
        <v>105</v>
      </c>
      <c r="B29" s="12">
        <v>3.76</v>
      </c>
      <c r="C29" s="19" t="s">
        <v>14</v>
      </c>
      <c r="D29" s="20" t="s">
        <v>106</v>
      </c>
      <c r="E29" s="21">
        <v>2016.0</v>
      </c>
      <c r="F29" s="8" t="s">
        <v>43</v>
      </c>
      <c r="G29" s="10" t="s">
        <v>107</v>
      </c>
      <c r="H29" s="5">
        <v>6.0</v>
      </c>
    </row>
    <row r="30">
      <c r="A30" s="4" t="s">
        <v>108</v>
      </c>
      <c r="B30" s="5">
        <v>12.1</v>
      </c>
      <c r="C30" s="6" t="s">
        <v>19</v>
      </c>
      <c r="D30" s="7" t="s">
        <v>109</v>
      </c>
      <c r="E30" s="8">
        <v>2024.0</v>
      </c>
      <c r="F30" s="8" t="s">
        <v>110</v>
      </c>
      <c r="G30" s="10" t="s">
        <v>111</v>
      </c>
      <c r="H30" s="5">
        <v>3.0</v>
      </c>
    </row>
    <row r="31">
      <c r="A31" s="4" t="s">
        <v>112</v>
      </c>
      <c r="B31" s="5">
        <v>10.0</v>
      </c>
      <c r="C31" s="6" t="s">
        <v>38</v>
      </c>
      <c r="D31" s="8" t="s">
        <v>113</v>
      </c>
      <c r="E31" s="8">
        <v>2025.0</v>
      </c>
      <c r="F31" s="8" t="s">
        <v>47</v>
      </c>
      <c r="G31" s="10" t="s">
        <v>114</v>
      </c>
      <c r="H31" s="5">
        <v>5.0</v>
      </c>
    </row>
    <row r="32">
      <c r="A32" s="4" t="s">
        <v>115</v>
      </c>
      <c r="B32" s="5">
        <v>24.37</v>
      </c>
      <c r="C32" s="15"/>
      <c r="D32" s="7" t="s">
        <v>116</v>
      </c>
      <c r="E32" s="8">
        <v>2021.0</v>
      </c>
      <c r="F32" s="8" t="s">
        <v>11</v>
      </c>
      <c r="G32" s="10" t="s">
        <v>117</v>
      </c>
      <c r="H32" s="18"/>
    </row>
  </sheetData>
  <customSheetViews>
    <customSheetView guid="{5A50D8B9-57A3-4E3E-B445-26BA9A88A82A}" filter="1" showAutoFilter="1">
      <autoFilter ref="$A$1:$H$32">
        <sortState ref="A1:H32">
          <sortCondition ref="H1:H32"/>
          <sortCondition ref="E1:E32"/>
        </sortState>
      </autoFilter>
    </customSheetView>
  </customSheetViews>
  <dataValidations>
    <dataValidation type="list" allowBlank="1" sqref="C2:C32">
      <formula1>"Ident,Fordulatok,Projektek,Sötét oldal"</formula1>
    </dataValidation>
    <dataValidation type="custom" allowBlank="1" showDropDown="1" sqref="B2:B32 H2:H32">
      <formula1>AND(ISNUMBER(B2),(NOT(OR(NOT(ISERROR(DATEVALUE(B2))), AND(ISNUMBER(B2), LEFT(CELL("format", B2))="D")))))</formula1>
    </dataValidation>
    <dataValidation allowBlank="1" showDropDown="1" sqref="A2:A32"/>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2"/>
  </hyperlinks>
  <drawing r:id="rId31"/>
  <tableParts count="1">
    <tablePart r:id="rId3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0"/>
    <col customWidth="1" min="2" max="2" width="17.63"/>
    <col customWidth="1" min="4" max="4" width="14.13"/>
  </cols>
  <sheetData>
    <row r="1" ht="22.5" customHeight="1">
      <c r="A1" s="22" t="s">
        <v>118</v>
      </c>
      <c r="B1" s="22" t="s">
        <v>119</v>
      </c>
      <c r="C1" s="23" t="s">
        <v>120</v>
      </c>
      <c r="D1" s="23" t="s">
        <v>121</v>
      </c>
      <c r="E1" s="23" t="s">
        <v>122</v>
      </c>
    </row>
    <row r="2" ht="22.5" customHeight="1">
      <c r="A2" s="24" t="s">
        <v>123</v>
      </c>
      <c r="B2" s="24">
        <v>10.0</v>
      </c>
      <c r="C2" s="25">
        <f>0+B2</f>
        <v>10</v>
      </c>
      <c r="D2" s="26">
        <v>0.4166666666666667</v>
      </c>
      <c r="E2" s="27">
        <f>TIME(10,0,0) + B2/1440</f>
        <v>0.4236111111</v>
      </c>
    </row>
    <row r="3" ht="22.5" customHeight="1">
      <c r="A3" s="28" t="s">
        <v>124</v>
      </c>
      <c r="B3" s="29">
        <f>SUM('Ident (Ádám)'!C:C)</f>
        <v>71.32</v>
      </c>
      <c r="C3" s="30">
        <f t="shared" ref="C3:C5" si="1">C2+B3</f>
        <v>81.32</v>
      </c>
      <c r="D3" s="27">
        <f t="shared" ref="D3:D14" si="2">E2</f>
        <v>0.4236111111</v>
      </c>
      <c r="E3" s="27">
        <f t="shared" ref="E3:E14" si="3">D3+B3/1440</f>
        <v>0.4731388889</v>
      </c>
    </row>
    <row r="4" ht="22.5" customHeight="1">
      <c r="A4" s="24" t="s">
        <v>125</v>
      </c>
      <c r="B4" s="24">
        <v>20.0</v>
      </c>
      <c r="C4" s="30">
        <f t="shared" si="1"/>
        <v>101.32</v>
      </c>
      <c r="D4" s="26">
        <f t="shared" si="2"/>
        <v>0.4731388889</v>
      </c>
      <c r="E4" s="27">
        <f t="shared" si="3"/>
        <v>0.4870277778</v>
      </c>
    </row>
    <row r="5" ht="22.5" customHeight="1">
      <c r="A5" s="24" t="s">
        <v>126</v>
      </c>
      <c r="B5" s="24">
        <v>15.0</v>
      </c>
      <c r="C5" s="30">
        <f t="shared" si="1"/>
        <v>116.32</v>
      </c>
      <c r="D5" s="26">
        <f t="shared" si="2"/>
        <v>0.4870277778</v>
      </c>
      <c r="E5" s="27">
        <f t="shared" si="3"/>
        <v>0.4974444444</v>
      </c>
    </row>
    <row r="6" ht="22.5" customHeight="1">
      <c r="A6" s="28" t="s">
        <v>127</v>
      </c>
      <c r="B6" s="29">
        <f>SUM('Fordulatok (Ricsi)'!C:C)</f>
        <v>76.31</v>
      </c>
      <c r="C6" s="30">
        <f>C4+B6</f>
        <v>177.63</v>
      </c>
      <c r="D6" s="26">
        <f t="shared" si="2"/>
        <v>0.4974444444</v>
      </c>
      <c r="E6" s="27">
        <f t="shared" si="3"/>
        <v>0.5504375</v>
      </c>
    </row>
    <row r="7" ht="22.5" customHeight="1">
      <c r="A7" s="24" t="s">
        <v>125</v>
      </c>
      <c r="B7" s="24">
        <v>20.0</v>
      </c>
      <c r="C7" s="30">
        <f t="shared" ref="C7:C11" si="4">C6+B7</f>
        <v>197.63</v>
      </c>
      <c r="D7" s="26">
        <f t="shared" si="2"/>
        <v>0.5504375</v>
      </c>
      <c r="E7" s="27">
        <f t="shared" si="3"/>
        <v>0.5643263889</v>
      </c>
    </row>
    <row r="8" ht="22.5" customHeight="1">
      <c r="A8" s="24" t="s">
        <v>126</v>
      </c>
      <c r="B8" s="24">
        <v>45.0</v>
      </c>
      <c r="C8" s="30">
        <f t="shared" si="4"/>
        <v>242.63</v>
      </c>
      <c r="D8" s="26">
        <f t="shared" si="2"/>
        <v>0.5643263889</v>
      </c>
      <c r="E8" s="27">
        <f t="shared" si="3"/>
        <v>0.5955763889</v>
      </c>
    </row>
    <row r="9" ht="22.5" customHeight="1">
      <c r="A9" s="28" t="s">
        <v>128</v>
      </c>
      <c r="B9" s="29">
        <f>SUM('Projektek (Matyi)'!C:C)</f>
        <v>66.25</v>
      </c>
      <c r="C9" s="30">
        <f t="shared" si="4"/>
        <v>308.88</v>
      </c>
      <c r="D9" s="26">
        <f t="shared" si="2"/>
        <v>0.5955763889</v>
      </c>
      <c r="E9" s="27">
        <f t="shared" si="3"/>
        <v>0.6415833333</v>
      </c>
    </row>
    <row r="10" ht="22.5" customHeight="1">
      <c r="A10" s="24" t="s">
        <v>125</v>
      </c>
      <c r="B10" s="24">
        <v>20.0</v>
      </c>
      <c r="C10" s="30">
        <f t="shared" si="4"/>
        <v>328.88</v>
      </c>
      <c r="D10" s="26">
        <f t="shared" si="2"/>
        <v>0.6415833333</v>
      </c>
      <c r="E10" s="27">
        <f t="shared" si="3"/>
        <v>0.6554722222</v>
      </c>
    </row>
    <row r="11" ht="22.5" customHeight="1">
      <c r="A11" s="24" t="s">
        <v>126</v>
      </c>
      <c r="B11" s="24">
        <v>15.0</v>
      </c>
      <c r="C11" s="30">
        <f t="shared" si="4"/>
        <v>343.88</v>
      </c>
      <c r="D11" s="26">
        <f t="shared" si="2"/>
        <v>0.6554722222</v>
      </c>
      <c r="E11" s="27">
        <f t="shared" si="3"/>
        <v>0.6658888889</v>
      </c>
    </row>
    <row r="12" ht="22.5" customHeight="1">
      <c r="A12" s="31" t="s">
        <v>129</v>
      </c>
      <c r="B12" s="29">
        <f>SUM('Sötét oldal (Marci)'!C:C)</f>
        <v>64.03</v>
      </c>
      <c r="C12" s="30">
        <f>C10+B12</f>
        <v>392.91</v>
      </c>
      <c r="D12" s="26">
        <f t="shared" si="2"/>
        <v>0.6658888889</v>
      </c>
      <c r="E12" s="27">
        <f t="shared" si="3"/>
        <v>0.7103541667</v>
      </c>
    </row>
    <row r="13" ht="22.5" customHeight="1">
      <c r="A13" s="24" t="s">
        <v>125</v>
      </c>
      <c r="B13" s="24">
        <v>20.0</v>
      </c>
      <c r="C13" s="30">
        <f t="shared" ref="C13:C14" si="5">C12+B13</f>
        <v>412.91</v>
      </c>
      <c r="D13" s="26">
        <f t="shared" si="2"/>
        <v>0.7103541667</v>
      </c>
      <c r="E13" s="27">
        <f t="shared" si="3"/>
        <v>0.7242430556</v>
      </c>
    </row>
    <row r="14" ht="22.5" customHeight="1">
      <c r="A14" s="24" t="s">
        <v>130</v>
      </c>
      <c r="B14" s="24">
        <v>15.0</v>
      </c>
      <c r="C14" s="30">
        <f t="shared" si="5"/>
        <v>427.91</v>
      </c>
      <c r="D14" s="26">
        <f t="shared" si="2"/>
        <v>0.7242430556</v>
      </c>
      <c r="E14" s="27">
        <f t="shared" si="3"/>
        <v>0.7346597222</v>
      </c>
    </row>
    <row r="17">
      <c r="A17" s="32" t="s">
        <v>131</v>
      </c>
      <c r="B17" s="33">
        <v>480.0</v>
      </c>
    </row>
    <row r="18">
      <c r="A18" s="33" t="s">
        <v>132</v>
      </c>
      <c r="B18" s="34">
        <f>SUM(Programösszesítő[Időtartam (perc)])</f>
        <v>457.91</v>
      </c>
    </row>
    <row r="19">
      <c r="A19" s="33" t="s">
        <v>133</v>
      </c>
      <c r="B19" s="34">
        <f>B17-B18</f>
        <v>22.09</v>
      </c>
    </row>
  </sheetData>
  <dataValidations>
    <dataValidation type="custom" allowBlank="1" showDropDown="1" sqref="D2:E14">
      <formula1>OR(TIMEVALUE(TEXT(D2, "hh:mm:ss"))=D2, AND(ISNUMBER(D2), LEFT(CELL("format", D2))="D"))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5"/>
    <col customWidth="1" min="2" max="3" width="22.63"/>
    <col customWidth="1" min="4" max="4" width="25.63"/>
    <col customWidth="1" min="5" max="5" width="22.63"/>
    <col customWidth="1" min="6" max="6" width="27.38"/>
  </cols>
  <sheetData>
    <row r="1" ht="22.5" customHeight="1">
      <c r="A1" s="35" t="s">
        <v>134</v>
      </c>
      <c r="B1" s="36" t="s">
        <v>0</v>
      </c>
      <c r="C1" s="36" t="s">
        <v>135</v>
      </c>
      <c r="D1" s="36" t="s">
        <v>3</v>
      </c>
      <c r="E1" s="36" t="s">
        <v>4</v>
      </c>
      <c r="F1" s="35" t="s">
        <v>136</v>
      </c>
    </row>
    <row r="2" ht="22.5" customHeight="1">
      <c r="A2" s="37">
        <v>1.0</v>
      </c>
      <c r="B2" s="6" t="s">
        <v>76</v>
      </c>
      <c r="C2" s="38">
        <f>IFERROR(VLOOKUP(B2, 'Filmösszesítő'!A:E, 2, FALSE), "")</f>
        <v>0.6</v>
      </c>
      <c r="D2" s="39" t="str">
        <f>IFERROR(VLOOKUP(B2, 'Filmösszesítő'!A:E, 4, FALSE), "")</f>
        <v>https://youtu.be/4OTwHdkkoIo</v>
      </c>
      <c r="E2" s="38">
        <f>IFERROR(VLOOKUP(B2, 'Filmösszesítő'!A:E, 5, FALSE), "")</f>
        <v>2021</v>
      </c>
      <c r="F2" s="40" t="b">
        <v>1</v>
      </c>
    </row>
    <row r="3" ht="22.5" customHeight="1">
      <c r="A3" s="37">
        <v>2.0</v>
      </c>
      <c r="B3" s="6" t="s">
        <v>49</v>
      </c>
      <c r="C3" s="38">
        <f>IFERROR(VLOOKUP(B3, 'Filmösszesítő'!A:E, 2, FALSE), "")</f>
        <v>14.37</v>
      </c>
      <c r="D3" s="39" t="str">
        <f>IFERROR(VLOOKUP(B3, 'Filmösszesítő'!A:E, 4, FALSE), "")</f>
        <v>https://youtu.be/Fg-T8T7Tr5I</v>
      </c>
      <c r="E3" s="38">
        <f>IFERROR(VLOOKUP(B3, 'Filmösszesítő'!A:E, 5, FALSE), "")</f>
        <v>2018</v>
      </c>
      <c r="F3" s="40" t="b">
        <v>1</v>
      </c>
    </row>
    <row r="4" ht="22.5" customHeight="1">
      <c r="A4" s="37">
        <v>3.0</v>
      </c>
      <c r="B4" s="6" t="s">
        <v>8</v>
      </c>
      <c r="C4" s="38">
        <f>IFERROR(VLOOKUP(B4, 'Filmösszesítő'!A:E, 2, FALSE), "")</f>
        <v>20</v>
      </c>
      <c r="D4" s="39" t="str">
        <f>IFERROR(VLOOKUP(B4, 'Filmösszesítő'!A:E, 4, FALSE), "")</f>
        <v>https://youtu.be/mrjREvSq28A</v>
      </c>
      <c r="E4" s="38">
        <f>IFERROR(VLOOKUP(B4, 'Filmösszesítő'!A:E, 5, FALSE), "")</f>
        <v>2016</v>
      </c>
      <c r="F4" s="40" t="b">
        <v>1</v>
      </c>
    </row>
    <row r="5" ht="22.5" customHeight="1">
      <c r="A5" s="37">
        <v>4.0</v>
      </c>
      <c r="B5" s="6" t="s">
        <v>102</v>
      </c>
      <c r="C5" s="38">
        <f>IFERROR(VLOOKUP(B5, 'Filmösszesítő'!A:E, 2, FALSE), "")</f>
        <v>5.66</v>
      </c>
      <c r="D5" s="39" t="str">
        <f>IFERROR(VLOOKUP(B5, 'Filmösszesítő'!A:E, 4, FALSE), "")</f>
        <v>https://www.youtube.com/watch?v=bBO8fy1W-3A</v>
      </c>
      <c r="E5" s="38">
        <f>IFERROR(VLOOKUP(B5, 'Filmösszesítő'!A:E, 5, FALSE), "")</f>
        <v>2024</v>
      </c>
      <c r="F5" s="40" t="b">
        <v>1</v>
      </c>
    </row>
    <row r="6" ht="22.5" customHeight="1">
      <c r="A6" s="37">
        <v>5.0</v>
      </c>
      <c r="B6" s="6" t="s">
        <v>22</v>
      </c>
      <c r="C6" s="38">
        <f>IFERROR(VLOOKUP(B6, 'Filmösszesítő'!A:E, 2, FALSE), "")</f>
        <v>2.63</v>
      </c>
      <c r="D6" s="39" t="str">
        <f>IFERROR(VLOOKUP(B6, 'Filmösszesítő'!A:E, 4, FALSE), "")</f>
        <v>https://youtu.be/byx36iFVp2k</v>
      </c>
      <c r="E6" s="38">
        <f>IFERROR(VLOOKUP(B6, 'Filmösszesítő'!A:E, 5, FALSE), "")</f>
        <v>2016</v>
      </c>
      <c r="F6" s="40" t="b">
        <v>1</v>
      </c>
    </row>
    <row r="7" ht="22.5" customHeight="1">
      <c r="A7" s="37">
        <v>6.0</v>
      </c>
      <c r="B7" s="6" t="s">
        <v>63</v>
      </c>
      <c r="C7" s="38">
        <f>IFERROR(VLOOKUP(B7, 'Filmösszesítő'!A:E, 2, FALSE), "")</f>
        <v>0.88</v>
      </c>
      <c r="D7" s="39" t="str">
        <f>IFERROR(VLOOKUP(B7, 'Filmösszesítő'!A:E, 4, FALSE), "")</f>
        <v>https://youtu.be/ZjxZlqWpILs</v>
      </c>
      <c r="E7" s="38">
        <f>IFERROR(VLOOKUP(B7, 'Filmösszesítő'!A:E, 5, FALSE), "")</f>
        <v>2019</v>
      </c>
      <c r="F7" s="40" t="b">
        <v>1</v>
      </c>
    </row>
    <row r="8" ht="22.5" customHeight="1">
      <c r="A8" s="37">
        <v>7.0</v>
      </c>
      <c r="B8" s="6" t="s">
        <v>60</v>
      </c>
      <c r="C8" s="38">
        <f>IFERROR(VLOOKUP(B8, 'Filmösszesítő'!A:E, 2, FALSE), "")</f>
        <v>13.2</v>
      </c>
      <c r="D8" s="39" t="str">
        <f>IFERROR(VLOOKUP(B8, 'Filmösszesítő'!A:E, 4, FALSE), "")</f>
        <v>https://youtu.be/78qHkmMnRnA</v>
      </c>
      <c r="E8" s="38">
        <f>IFERROR(VLOOKUP(B8, 'Filmösszesítő'!A:E, 5, FALSE), "")</f>
        <v>2019</v>
      </c>
      <c r="F8" s="40" t="b">
        <v>1</v>
      </c>
    </row>
    <row r="9" ht="22.5" customHeight="1">
      <c r="A9" s="37">
        <v>8.0</v>
      </c>
      <c r="B9" s="6" t="s">
        <v>71</v>
      </c>
      <c r="C9" s="38">
        <f>IFERROR(VLOOKUP(B9, 'Filmösszesítő'!A:E, 2, FALSE), "")</f>
        <v>12</v>
      </c>
      <c r="D9" s="39" t="str">
        <f>IFERROR(VLOOKUP(B9, 'Filmösszesítő'!A:E, 4, FALSE), "")</f>
        <v>https://youtu.be/_qTjQ7OeDrc</v>
      </c>
      <c r="E9" s="38">
        <f>IFERROR(VLOOKUP(B9, 'Filmösszesítő'!A:E, 5, FALSE), "")</f>
        <v>2021</v>
      </c>
      <c r="F9" s="40" t="b">
        <v>1</v>
      </c>
    </row>
    <row r="10" ht="22.5" customHeight="1">
      <c r="A10" s="37">
        <v>9.0</v>
      </c>
      <c r="B10" s="6" t="s">
        <v>26</v>
      </c>
      <c r="C10" s="38">
        <f>IFERROR(VLOOKUP(B10, 'Filmösszesítő'!A:E, 2, FALSE), "")</f>
        <v>1.98</v>
      </c>
      <c r="D10" s="39" t="str">
        <f>IFERROR(VLOOKUP(B10, 'Filmösszesítő'!A:E, 4, FALSE), "")</f>
        <v>https://youtu.be/srPUdQ6Il7o</v>
      </c>
      <c r="E10" s="38">
        <f>IFERROR(VLOOKUP(B10, 'Filmösszesítő'!A:E, 5, FALSE), "")</f>
        <v>2016</v>
      </c>
      <c r="F10" s="40" t="b">
        <v>1</v>
      </c>
    </row>
    <row r="11" ht="22.5" customHeight="1">
      <c r="A11" s="41"/>
      <c r="B11" s="42"/>
      <c r="C11" s="38" t="str">
        <f>IFERROR(VLOOKUP(B11, 'Filmösszesítő'!A:E, 2, FALSE), "")</f>
        <v/>
      </c>
      <c r="D11" s="38" t="str">
        <f>IFERROR(VLOOKUP(B11, 'Filmösszesítő'!A:E, 4, FALSE), "")</f>
        <v/>
      </c>
      <c r="E11" s="38" t="str">
        <f>IFERROR(VLOOKUP(B11, 'Filmösszesítő'!A:E, 5, FALSE), "")</f>
        <v/>
      </c>
      <c r="F11" s="40" t="b">
        <v>0</v>
      </c>
    </row>
    <row r="12" ht="22.5" customHeight="1">
      <c r="A12" s="41"/>
      <c r="B12" s="42"/>
      <c r="C12" s="38" t="str">
        <f>IFERROR(VLOOKUP(B12, 'Filmösszesítő'!A:E, 2, FALSE), "")</f>
        <v/>
      </c>
      <c r="D12" s="38" t="str">
        <f>IFERROR(VLOOKUP(B12, 'Filmösszesítő'!A:E, 4, FALSE), "")</f>
        <v/>
      </c>
      <c r="E12" s="38" t="str">
        <f>IFERROR(VLOOKUP(B12, 'Filmösszesítő'!A:E, 5, FALSE), "")</f>
        <v/>
      </c>
      <c r="F12" s="40" t="b">
        <v>0</v>
      </c>
    </row>
    <row r="13" ht="22.5" customHeight="1">
      <c r="A13" s="41"/>
      <c r="B13" s="42"/>
      <c r="C13" s="38" t="str">
        <f>IFERROR(VLOOKUP(B13, 'Filmösszesítő'!A:E, 2, FALSE), "")</f>
        <v/>
      </c>
      <c r="D13" s="38" t="str">
        <f>IFERROR(VLOOKUP(B13, 'Filmösszesítő'!A:E, 4, FALSE), "")</f>
        <v/>
      </c>
      <c r="E13" s="38" t="str">
        <f>IFERROR(VLOOKUP(B13, 'Filmösszesítő'!A:E, 5, FALSE), "")</f>
        <v/>
      </c>
      <c r="F13" s="40" t="b">
        <v>0</v>
      </c>
    </row>
    <row r="14" ht="22.5" customHeight="1">
      <c r="A14" s="41"/>
      <c r="B14" s="42"/>
      <c r="C14" s="38" t="str">
        <f>IFERROR(VLOOKUP(B14, 'Filmösszesítő'!A:E, 2, FALSE), "")</f>
        <v/>
      </c>
      <c r="D14" s="38" t="str">
        <f>IFERROR(VLOOKUP(B14, 'Filmösszesítő'!A:E, 4, FALSE), "")</f>
        <v/>
      </c>
      <c r="E14" s="38" t="str">
        <f>IFERROR(VLOOKUP(B14, 'Filmösszesítő'!A:E, 5, FALSE), "")</f>
        <v/>
      </c>
      <c r="F14" s="40" t="b">
        <v>0</v>
      </c>
    </row>
    <row r="15" ht="22.5" customHeight="1">
      <c r="A15" s="41"/>
      <c r="B15" s="42"/>
      <c r="C15" s="38" t="str">
        <f>IFERROR(VLOOKUP(B15, 'Filmösszesítő'!A:E, 2, FALSE), "")</f>
        <v/>
      </c>
      <c r="D15" s="38" t="str">
        <f>IFERROR(VLOOKUP(B15, 'Filmösszesítő'!A:E, 4, FALSE), "")</f>
        <v/>
      </c>
      <c r="E15" s="38" t="str">
        <f>IFERROR(VLOOKUP(B15, 'Filmösszesítő'!A:E, 5, FALSE), "")</f>
        <v/>
      </c>
      <c r="F15" s="40" t="b">
        <v>0</v>
      </c>
    </row>
  </sheetData>
  <dataValidations>
    <dataValidation type="custom" allowBlank="1" showDropDown="1" sqref="A2:A15">
      <formula1>AND(ISNUMBER(A2),(NOT(OR(NOT(ISERROR(DATEVALUE(A2))), AND(ISNUMBER(A2), LEFT(CELL("format", A2))="D")))))</formula1>
    </dataValidation>
    <dataValidation type="list" allowBlank="1" sqref="B2:B15">
      <formula1>#REF!</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5"/>
    <col customWidth="1" min="2" max="3" width="22.63"/>
    <col customWidth="1" min="4" max="4" width="25.63"/>
    <col customWidth="1" min="5" max="5" width="22.63"/>
    <col customWidth="1" min="6" max="6" width="27.38"/>
  </cols>
  <sheetData>
    <row r="1" ht="22.5" customHeight="1">
      <c r="A1" s="35" t="s">
        <v>134</v>
      </c>
      <c r="B1" s="36" t="s">
        <v>0</v>
      </c>
      <c r="C1" s="36" t="s">
        <v>135</v>
      </c>
      <c r="D1" s="36" t="s">
        <v>3</v>
      </c>
      <c r="E1" s="36" t="s">
        <v>4</v>
      </c>
      <c r="F1" s="35" t="s">
        <v>137</v>
      </c>
    </row>
    <row r="2" ht="22.5" customHeight="1">
      <c r="A2" s="37">
        <v>1.0</v>
      </c>
      <c r="B2" s="6" t="s">
        <v>80</v>
      </c>
      <c r="C2" s="38">
        <f>IFERROR(VLOOKUP(B2, 'Filmösszesítő'!A:E, 2, FALSE), "")</f>
        <v>0.72</v>
      </c>
      <c r="D2" s="39" t="str">
        <f>IFERROR(VLOOKUP(B2, 'Filmösszesítő'!A:E, 4, FALSE), "")</f>
        <v>https://youtu.be/s1KhAeIctOw</v>
      </c>
      <c r="E2" s="38">
        <f>IFERROR(VLOOKUP(B2, 'Filmösszesítő'!A:E, 5, FALSE), "")</f>
        <v>2021</v>
      </c>
      <c r="F2" s="40" t="b">
        <v>1</v>
      </c>
    </row>
    <row r="3" ht="22.5" customHeight="1">
      <c r="A3" s="37">
        <v>2.0</v>
      </c>
      <c r="B3" s="6" t="s">
        <v>13</v>
      </c>
      <c r="C3" s="38">
        <f>IFERROR(VLOOKUP(B3, 'Filmösszesítő'!A:E, 2, FALSE), "")</f>
        <v>7.75</v>
      </c>
      <c r="D3" s="39" t="str">
        <f>IFERROR(VLOOKUP(B3, 'Filmösszesítő'!A:E, 4, FALSE), "")</f>
        <v>https://youtu.be/dLq1gBb8lSc</v>
      </c>
      <c r="E3" s="38">
        <f>IFERROR(VLOOKUP(B3, 'Filmösszesítő'!A:E, 5, FALSE), "")</f>
        <v>2016</v>
      </c>
      <c r="F3" s="40" t="b">
        <v>1</v>
      </c>
    </row>
    <row r="4" ht="22.5" customHeight="1">
      <c r="A4" s="37">
        <v>3.0</v>
      </c>
      <c r="B4" s="6" t="s">
        <v>93</v>
      </c>
      <c r="C4" s="38">
        <f>IFERROR(VLOOKUP(B4, 'Filmösszesítő'!A:E, 2, FALSE), "")</f>
        <v>25.8</v>
      </c>
      <c r="D4" s="39" t="str">
        <f>IFERROR(VLOOKUP(B4, 'Filmösszesítő'!A:E, 4, FALSE), "")</f>
        <v>https://youtu.be/093OOQEkEfU</v>
      </c>
      <c r="E4" s="38">
        <f>IFERROR(VLOOKUP(B4, 'Filmösszesítő'!A:E, 5, FALSE), "")</f>
        <v>2023</v>
      </c>
      <c r="F4" s="40" t="b">
        <v>1</v>
      </c>
    </row>
    <row r="5" ht="22.5" customHeight="1">
      <c r="A5" s="37">
        <v>4.0</v>
      </c>
      <c r="B5" s="6" t="s">
        <v>90</v>
      </c>
      <c r="C5" s="38">
        <f>IFERROR(VLOOKUP(B5, 'Filmösszesítő'!A:E, 2, FALSE), "")</f>
        <v>30.28</v>
      </c>
      <c r="D5" s="39" t="str">
        <f>IFERROR(VLOOKUP(B5, 'Filmösszesítő'!A:E, 4, FALSE), "")</f>
        <v>https://youtu.be/k5C0P4FN7WQ</v>
      </c>
      <c r="E5" s="38">
        <f>IFERROR(VLOOKUP(B5, 'Filmösszesítő'!A:E, 5, FALSE), "")</f>
        <v>2022</v>
      </c>
      <c r="F5" s="40" t="b">
        <v>1</v>
      </c>
    </row>
    <row r="6" ht="22.5" customHeight="1">
      <c r="A6" s="37">
        <v>5.0</v>
      </c>
      <c r="B6" s="6" t="s">
        <v>30</v>
      </c>
      <c r="C6" s="38">
        <f>IFERROR(VLOOKUP(B6, 'Filmösszesítő'!A:E, 2, FALSE), "")</f>
        <v>8</v>
      </c>
      <c r="D6" s="39" t="str">
        <f>IFERROR(VLOOKUP(B6, 'Filmösszesítő'!A:E, 4, FALSE), "")</f>
        <v>https://youtu.be/nK5TWRSkJrQ</v>
      </c>
      <c r="E6" s="38">
        <f>IFERROR(VLOOKUP(B6, 'Filmösszesítő'!A:E, 5, FALSE), "")</f>
        <v>2017</v>
      </c>
      <c r="F6" s="40" t="b">
        <v>1</v>
      </c>
    </row>
    <row r="7" ht="22.5" customHeight="1">
      <c r="A7" s="37">
        <v>6.0</v>
      </c>
      <c r="B7" s="6" t="s">
        <v>105</v>
      </c>
      <c r="C7" s="38">
        <f>IFERROR(VLOOKUP(B7, 'Filmösszesítő'!A:E, 2, FALSE), "")</f>
        <v>3.76</v>
      </c>
      <c r="D7" s="39" t="str">
        <f>IFERROR(VLOOKUP(B7, 'Filmösszesítő'!A:E, 4, FALSE), "")</f>
        <v>https://youtu.be/0PxBSRa3yVs</v>
      </c>
      <c r="E7" s="38">
        <f>IFERROR(VLOOKUP(B7, 'Filmösszesítő'!A:E, 5, FALSE), "")</f>
        <v>2016</v>
      </c>
      <c r="F7" s="40" t="b">
        <v>1</v>
      </c>
    </row>
    <row r="8" ht="22.5" customHeight="1">
      <c r="A8" s="41"/>
      <c r="B8" s="42"/>
      <c r="C8" s="38" t="str">
        <f>IFERROR(VLOOKUP(B8, 'Filmösszesítő'!A:E, 2, FALSE), "")</f>
        <v/>
      </c>
      <c r="D8" s="38" t="str">
        <f>IFERROR(VLOOKUP(B8, 'Filmösszesítő'!A:E, 4, FALSE), "")</f>
        <v/>
      </c>
      <c r="E8" s="38" t="str">
        <f>IFERROR(VLOOKUP(B8, 'Filmösszesítő'!A:E, 5, FALSE), "")</f>
        <v/>
      </c>
      <c r="F8" s="40" t="b">
        <v>0</v>
      </c>
    </row>
    <row r="9" ht="22.5" customHeight="1">
      <c r="A9" s="41"/>
      <c r="B9" s="42"/>
      <c r="C9" s="38" t="str">
        <f>IFERROR(VLOOKUP(B9, 'Filmösszesítő'!A:E, 2, FALSE), "")</f>
        <v/>
      </c>
      <c r="D9" s="38" t="str">
        <f>IFERROR(VLOOKUP(B9, 'Filmösszesítő'!A:E, 4, FALSE), "")</f>
        <v/>
      </c>
      <c r="E9" s="38" t="str">
        <f>IFERROR(VLOOKUP(B9, 'Filmösszesítő'!A:E, 5, FALSE), "")</f>
        <v/>
      </c>
      <c r="F9" s="40" t="b">
        <v>0</v>
      </c>
    </row>
    <row r="10" ht="22.5" customHeight="1">
      <c r="A10" s="41"/>
      <c r="B10" s="42"/>
      <c r="C10" s="38" t="str">
        <f>IFERROR(VLOOKUP(B10, 'Filmösszesítő'!A:E, 2, FALSE), "")</f>
        <v/>
      </c>
      <c r="D10" s="38" t="str">
        <f>IFERROR(VLOOKUP(B10, 'Filmösszesítő'!A:E, 4, FALSE), "")</f>
        <v/>
      </c>
      <c r="E10" s="38" t="str">
        <f>IFERROR(VLOOKUP(B10, 'Filmösszesítő'!A:E, 5, FALSE), "")</f>
        <v/>
      </c>
      <c r="F10" s="40" t="b">
        <v>0</v>
      </c>
    </row>
    <row r="11" ht="22.5" customHeight="1">
      <c r="A11" s="41"/>
      <c r="B11" s="42"/>
      <c r="C11" s="38" t="str">
        <f>IFERROR(VLOOKUP(B11, 'Filmösszesítő'!A:E, 2, FALSE), "")</f>
        <v/>
      </c>
      <c r="D11" s="38" t="str">
        <f>IFERROR(VLOOKUP(B11, 'Filmösszesítő'!A:E, 4, FALSE), "")</f>
        <v/>
      </c>
      <c r="E11" s="38" t="str">
        <f>IFERROR(VLOOKUP(B11, 'Filmösszesítő'!A:E, 5, FALSE), "")</f>
        <v/>
      </c>
      <c r="F11" s="40" t="b">
        <v>0</v>
      </c>
    </row>
    <row r="12" ht="22.5" customHeight="1">
      <c r="A12" s="41"/>
      <c r="B12" s="42"/>
      <c r="C12" s="38" t="str">
        <f>IFERROR(VLOOKUP(B12, 'Filmösszesítő'!A:E, 2, FALSE), "")</f>
        <v/>
      </c>
      <c r="D12" s="38" t="str">
        <f>IFERROR(VLOOKUP(B12, 'Filmösszesítő'!A:E, 4, FALSE), "")</f>
        <v/>
      </c>
      <c r="E12" s="38" t="str">
        <f>IFERROR(VLOOKUP(B12, 'Filmösszesítő'!A:E, 5, FALSE), "")</f>
        <v/>
      </c>
      <c r="F12" s="40" t="b">
        <v>0</v>
      </c>
    </row>
    <row r="13" ht="22.5" customHeight="1">
      <c r="A13" s="41"/>
      <c r="B13" s="42"/>
      <c r="C13" s="38" t="str">
        <f>IFERROR(VLOOKUP(B13, 'Filmösszesítő'!A:E, 2, FALSE), "")</f>
        <v/>
      </c>
      <c r="D13" s="38" t="str">
        <f>IFERROR(VLOOKUP(B13, 'Filmösszesítő'!A:E, 4, FALSE), "")</f>
        <v/>
      </c>
      <c r="E13" s="38" t="str">
        <f>IFERROR(VLOOKUP(B13, 'Filmösszesítő'!A:E, 5, FALSE), "")</f>
        <v/>
      </c>
      <c r="F13" s="40" t="b">
        <v>0</v>
      </c>
    </row>
  </sheetData>
  <dataValidations>
    <dataValidation type="custom" allowBlank="1" showDropDown="1" sqref="A2:A13">
      <formula1>AND(ISNUMBER(A2),(NOT(OR(NOT(ISERROR(DATEVALUE(A2))), AND(ISNUMBER(A2), LEFT(CELL("format", A2))="D")))))</formula1>
    </dataValidation>
    <dataValidation type="list" allowBlank="1" sqref="B2:B13">
      <formula1>#REF!</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5"/>
    <col customWidth="1" min="2" max="3" width="22.63"/>
    <col customWidth="1" min="4" max="4" width="25.63"/>
    <col customWidth="1" min="5" max="5" width="22.63"/>
    <col customWidth="1" min="6" max="6" width="27.38"/>
  </cols>
  <sheetData>
    <row r="1" ht="22.5" customHeight="1">
      <c r="A1" s="35" t="s">
        <v>134</v>
      </c>
      <c r="B1" s="36" t="s">
        <v>0</v>
      </c>
      <c r="C1" s="36" t="s">
        <v>135</v>
      </c>
      <c r="D1" s="36" t="s">
        <v>3</v>
      </c>
      <c r="E1" s="36" t="s">
        <v>4</v>
      </c>
      <c r="F1" s="35" t="s">
        <v>136</v>
      </c>
    </row>
    <row r="2" ht="22.5" customHeight="1">
      <c r="A2" s="37">
        <v>1.0</v>
      </c>
      <c r="B2" s="6" t="s">
        <v>83</v>
      </c>
      <c r="C2" s="38">
        <f>IFERROR(VLOOKUP(B2, 'Filmösszesítő'!A:E, 2, FALSE), "")</f>
        <v>1.05</v>
      </c>
      <c r="D2" s="39" t="str">
        <f>IFERROR(VLOOKUP(B2, 'Filmösszesítő'!A:E, 4, FALSE), "")</f>
        <v>https://youtu.be/QQkATp3ZrNE</v>
      </c>
      <c r="E2" s="38">
        <f>IFERROR(VLOOKUP(B2, 'Filmösszesítő'!A:E, 5, FALSE), "")</f>
        <v>2021</v>
      </c>
      <c r="F2" s="40" t="b">
        <v>1</v>
      </c>
    </row>
    <row r="3" ht="22.5" customHeight="1">
      <c r="A3" s="37">
        <v>2.0</v>
      </c>
      <c r="B3" s="6" t="s">
        <v>37</v>
      </c>
      <c r="C3" s="38">
        <f>IFERROR(VLOOKUP(B3, 'Filmösszesítő'!A:E, 2, FALSE), "")</f>
        <v>3.96</v>
      </c>
      <c r="D3" s="39" t="str">
        <f>IFERROR(VLOOKUP(B3, 'Filmösszesítő'!A:E, 4, FALSE), "")</f>
        <v>https://youtu.be/fF1MVz1zWrE</v>
      </c>
      <c r="E3" s="38">
        <f>IFERROR(VLOOKUP(B3, 'Filmösszesítő'!A:E, 5, FALSE), "")</f>
        <v>2018</v>
      </c>
      <c r="F3" s="40" t="b">
        <v>1</v>
      </c>
      <c r="G3" s="34">
        <f>SUM(Matyi[Játékidő])</f>
        <v>66.25</v>
      </c>
    </row>
    <row r="4" ht="22.5" customHeight="1">
      <c r="A4" s="37">
        <v>3.0</v>
      </c>
      <c r="B4" s="6" t="s">
        <v>41</v>
      </c>
      <c r="C4" s="38">
        <f>IFERROR(VLOOKUP(B4, 'Filmösszesítő'!A:E, 2, FALSE), "")</f>
        <v>5.92</v>
      </c>
      <c r="D4" s="39" t="str">
        <f>IFERROR(VLOOKUP(B4, 'Filmösszesítő'!A:E, 4, FALSE), "")</f>
        <v>https://youtu.be/Bs1tHvCRx8E</v>
      </c>
      <c r="E4" s="38">
        <f>IFERROR(VLOOKUP(B4, 'Filmösszesítő'!A:E, 5, FALSE), "")</f>
        <v>2018</v>
      </c>
      <c r="F4" s="40" t="b">
        <v>1</v>
      </c>
    </row>
    <row r="5" ht="22.5" customHeight="1">
      <c r="A5" s="37">
        <v>4.0</v>
      </c>
      <c r="B5" s="6" t="s">
        <v>45</v>
      </c>
      <c r="C5" s="38">
        <f>IFERROR(VLOOKUP(B5, 'Filmösszesítő'!A:E, 2, FALSE), "")</f>
        <v>5.2</v>
      </c>
      <c r="D5" s="39" t="str">
        <f>IFERROR(VLOOKUP(B5, 'Filmösszesítő'!A:E, 4, FALSE), "")</f>
        <v>https://youtu.be/opjXJhNPBO8</v>
      </c>
      <c r="E5" s="38">
        <f>IFERROR(VLOOKUP(B5, 'Filmösszesítő'!A:E, 5, FALSE), "")</f>
        <v>2018</v>
      </c>
      <c r="F5" s="40" t="b">
        <v>1</v>
      </c>
    </row>
    <row r="6" ht="22.5" customHeight="1">
      <c r="A6" s="37">
        <v>5.0</v>
      </c>
      <c r="B6" s="6" t="s">
        <v>112</v>
      </c>
      <c r="C6" s="38">
        <f>IFERROR(VLOOKUP(B6, 'Filmösszesítő'!A:E, 2, FALSE), "")</f>
        <v>10</v>
      </c>
      <c r="D6" s="38" t="str">
        <f>IFERROR(VLOOKUP(B6, 'Filmösszesítő'!A:E, 4, FALSE), "")</f>
        <v>TBA</v>
      </c>
      <c r="E6" s="38">
        <f>IFERROR(VLOOKUP(B6, 'Filmösszesítő'!A:E, 5, FALSE), "")</f>
        <v>2025</v>
      </c>
      <c r="F6" s="40" t="b">
        <v>1</v>
      </c>
    </row>
    <row r="7" ht="22.5" customHeight="1">
      <c r="A7" s="37">
        <v>6.0</v>
      </c>
      <c r="B7" s="6" t="s">
        <v>99</v>
      </c>
      <c r="C7" s="38">
        <f>IFERROR(VLOOKUP(B7, 'Filmösszesítő'!A:E, 2, FALSE), "")</f>
        <v>5.5</v>
      </c>
      <c r="D7" s="39" t="str">
        <f>IFERROR(VLOOKUP(B7, 'Filmösszesítő'!A:E, 4, FALSE), "")</f>
        <v>https://www.youtube.com/watch?v=NwJ8VgWiHeU</v>
      </c>
      <c r="E7" s="38">
        <f>IFERROR(VLOOKUP(B7, 'Filmösszesítő'!A:E, 5, FALSE), "")</f>
        <v>2024</v>
      </c>
      <c r="F7" s="40" t="b">
        <v>1</v>
      </c>
    </row>
    <row r="8" ht="22.5" customHeight="1">
      <c r="A8" s="37">
        <v>7.0</v>
      </c>
      <c r="B8" s="6" t="s">
        <v>53</v>
      </c>
      <c r="C8" s="38">
        <f>IFERROR(VLOOKUP(B8, 'Filmösszesítő'!A:E, 2, FALSE), "")</f>
        <v>5</v>
      </c>
      <c r="D8" s="39" t="str">
        <f>IFERROR(VLOOKUP(B8, 'Filmösszesítő'!A:E, 4, FALSE), "")</f>
        <v>https://youtu.be/JpRKm48n0n0?si=bVzJQbK98ZJ70QqI</v>
      </c>
      <c r="E8" s="38">
        <f>IFERROR(VLOOKUP(B8, 'Filmösszesítő'!A:E, 5, FALSE), "")</f>
        <v>2018</v>
      </c>
      <c r="F8" s="40" t="b">
        <v>1</v>
      </c>
    </row>
    <row r="9" ht="22.5" customHeight="1">
      <c r="A9" s="37">
        <v>8.0</v>
      </c>
      <c r="B9" s="6" t="s">
        <v>67</v>
      </c>
      <c r="C9" s="38">
        <f>IFERROR(VLOOKUP(B9, 'Filmösszesítő'!A:E, 2, FALSE), "")</f>
        <v>29.62</v>
      </c>
      <c r="D9" s="39" t="str">
        <f>IFERROR(VLOOKUP(B9, 'Filmösszesítő'!A:E, 4, FALSE), "")</f>
        <v>https://youtu.be/ZCSH9qDzpOI</v>
      </c>
      <c r="E9" s="38">
        <f>IFERROR(VLOOKUP(B9, 'Filmösszesítő'!A:E, 5, FALSE), "")</f>
        <v>2020</v>
      </c>
      <c r="F9" s="40" t="b">
        <v>1</v>
      </c>
    </row>
    <row r="10" ht="22.5" customHeight="1">
      <c r="A10" s="41"/>
      <c r="B10" s="42"/>
      <c r="C10" s="38" t="str">
        <f>IFERROR(VLOOKUP(B10, 'Filmösszesítő'!A:E, 2, FALSE), "")</f>
        <v/>
      </c>
      <c r="D10" s="38" t="str">
        <f>IFERROR(VLOOKUP(B10, 'Filmösszesítő'!A:E, 4, FALSE), "")</f>
        <v/>
      </c>
      <c r="E10" s="38" t="str">
        <f>IFERROR(VLOOKUP(B10, 'Filmösszesítő'!A:E, 5, FALSE), "")</f>
        <v/>
      </c>
      <c r="F10" s="40" t="b">
        <v>0</v>
      </c>
    </row>
    <row r="11" ht="22.5" customHeight="1">
      <c r="A11" s="41"/>
      <c r="B11" s="42"/>
      <c r="C11" s="38" t="str">
        <f>IFERROR(VLOOKUP(B11, 'Filmösszesítő'!A:E, 2, FALSE), "")</f>
        <v/>
      </c>
      <c r="D11" s="38" t="str">
        <f>IFERROR(VLOOKUP(B11, 'Filmösszesítő'!A:E, 4, FALSE), "")</f>
        <v/>
      </c>
      <c r="E11" s="38" t="str">
        <f>IFERROR(VLOOKUP(B11, 'Filmösszesítő'!A:E, 5, FALSE), "")</f>
        <v/>
      </c>
      <c r="F11" s="40" t="b">
        <v>0</v>
      </c>
    </row>
    <row r="12" ht="22.5" customHeight="1">
      <c r="A12" s="41"/>
      <c r="B12" s="42"/>
      <c r="C12" s="38" t="str">
        <f>IFERROR(VLOOKUP(B12, 'Filmösszesítő'!A:E, 2, FALSE), "")</f>
        <v/>
      </c>
      <c r="D12" s="38" t="str">
        <f>IFERROR(VLOOKUP(B12, 'Filmösszesítő'!A:E, 4, FALSE), "")</f>
        <v/>
      </c>
      <c r="E12" s="38" t="str">
        <f>IFERROR(VLOOKUP(B12, 'Filmösszesítő'!A:E, 5, FALSE), "")</f>
        <v/>
      </c>
      <c r="F12" s="40" t="b">
        <v>0</v>
      </c>
    </row>
    <row r="13" ht="22.5" customHeight="1">
      <c r="A13" s="41"/>
      <c r="B13" s="42"/>
      <c r="C13" s="38" t="str">
        <f>IFERROR(VLOOKUP(B13, 'Filmösszesítő'!A:E, 2, FALSE), "")</f>
        <v/>
      </c>
      <c r="D13" s="38" t="str">
        <f>IFERROR(VLOOKUP(B13, 'Filmösszesítő'!A:E, 4, FALSE), "")</f>
        <v/>
      </c>
      <c r="E13" s="38" t="str">
        <f>IFERROR(VLOOKUP(B13, 'Filmösszesítő'!A:E, 5, FALSE), "")</f>
        <v/>
      </c>
      <c r="F13" s="40" t="b">
        <v>0</v>
      </c>
    </row>
    <row r="14" ht="22.5" customHeight="1">
      <c r="A14" s="41"/>
      <c r="B14" s="42"/>
      <c r="C14" s="38" t="str">
        <f>IFERROR(VLOOKUP(B14, 'Filmösszesítő'!A:E, 2, FALSE), "")</f>
        <v/>
      </c>
      <c r="D14" s="38" t="str">
        <f>IFERROR(VLOOKUP(B14, 'Filmösszesítő'!A:E, 4, FALSE), "")</f>
        <v/>
      </c>
      <c r="E14" s="38" t="str">
        <f>IFERROR(VLOOKUP(B14, 'Filmösszesítő'!A:E, 5, FALSE), "")</f>
        <v/>
      </c>
      <c r="F14" s="40" t="b">
        <v>0</v>
      </c>
    </row>
    <row r="15" ht="22.5" customHeight="1">
      <c r="A15" s="41"/>
      <c r="B15" s="42"/>
      <c r="C15" s="38" t="str">
        <f>IFERROR(VLOOKUP(B15, 'Filmösszesítő'!A:E, 2, FALSE), "")</f>
        <v/>
      </c>
      <c r="D15" s="38" t="str">
        <f>IFERROR(VLOOKUP(B15, 'Filmösszesítő'!A:E, 4, FALSE), "")</f>
        <v/>
      </c>
      <c r="E15" s="38" t="str">
        <f>IFERROR(VLOOKUP(B15, 'Filmösszesítő'!A:E, 5, FALSE), "")</f>
        <v/>
      </c>
      <c r="F15" s="40" t="b">
        <v>0</v>
      </c>
    </row>
  </sheetData>
  <dataValidations>
    <dataValidation type="custom" allowBlank="1" showDropDown="1" sqref="A2:A15">
      <formula1>AND(ISNUMBER(A2),(NOT(OR(NOT(ISERROR(DATEVALUE(A2))), AND(ISNUMBER(A2), LEFT(CELL("format", A2))="D")))))</formula1>
    </dataValidation>
    <dataValidation type="list" allowBlank="1" sqref="B2:B15">
      <formula1>#REF!</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5"/>
    <col customWidth="1" min="2" max="2" width="24.75"/>
    <col customWidth="1" min="3" max="3" width="22.63"/>
    <col customWidth="1" min="4" max="4" width="25.63"/>
    <col customWidth="1" min="5" max="5" width="22.63"/>
    <col customWidth="1" min="6" max="6" width="27.38"/>
  </cols>
  <sheetData>
    <row r="1" ht="22.5" customHeight="1">
      <c r="A1" s="35" t="s">
        <v>134</v>
      </c>
      <c r="B1" s="36" t="s">
        <v>0</v>
      </c>
      <c r="C1" s="36" t="s">
        <v>135</v>
      </c>
      <c r="D1" s="36" t="s">
        <v>3</v>
      </c>
      <c r="E1" s="36" t="s">
        <v>4</v>
      </c>
      <c r="F1" s="35" t="s">
        <v>136</v>
      </c>
    </row>
    <row r="2" ht="22.5" customHeight="1">
      <c r="A2" s="37">
        <v>1.0</v>
      </c>
      <c r="B2" s="6" t="s">
        <v>96</v>
      </c>
      <c r="C2" s="38">
        <f>IFERROR(VLOOKUP(B2, 'Filmösszesítő'!A:E, 2, FALSE), "")</f>
        <v>1.07</v>
      </c>
      <c r="D2" s="39" t="str">
        <f>IFERROR(VLOOKUP(B2, 'Filmösszesítő'!A:E, 4, FALSE), "")</f>
        <v>https://youtu.be/dgyIO9-bp0g</v>
      </c>
      <c r="E2" s="38">
        <f>IFERROR(VLOOKUP(B2, 'Filmösszesítő'!A:E, 5, FALSE), "")</f>
        <v>2021</v>
      </c>
      <c r="F2" s="40" t="b">
        <v>1</v>
      </c>
    </row>
    <row r="3" ht="22.5" customHeight="1">
      <c r="A3" s="37">
        <v>2.0</v>
      </c>
      <c r="B3" s="6" t="s">
        <v>56</v>
      </c>
      <c r="C3" s="38">
        <f>IFERROR(VLOOKUP(B3, 'Filmösszesítő'!A:E, 2, FALSE), "")</f>
        <v>3.43</v>
      </c>
      <c r="D3" s="39" t="str">
        <f>IFERROR(VLOOKUP(B3, 'Filmösszesítő'!A:E, 4, FALSE), "")</f>
        <v>https://youtu.be/7Zik7dNAwwU</v>
      </c>
      <c r="E3" s="38">
        <f>IFERROR(VLOOKUP(B3, 'Filmösszesítő'!A:E, 5, FALSE), "")</f>
        <v>2018</v>
      </c>
      <c r="F3" s="40" t="b">
        <v>1</v>
      </c>
    </row>
    <row r="4" ht="22.5" customHeight="1">
      <c r="A4" s="37">
        <v>3.0</v>
      </c>
      <c r="B4" s="6" t="s">
        <v>108</v>
      </c>
      <c r="C4" s="38">
        <f>IFERROR(VLOOKUP(B4, 'Filmösszesítő'!A:E, 2, FALSE), "")</f>
        <v>12.1</v>
      </c>
      <c r="D4" s="39" t="str">
        <f>IFERROR(VLOOKUP(B4, 'Filmösszesítő'!A:E, 4, FALSE), "")</f>
        <v>https://youtu.be/OgBC-vPL0W8</v>
      </c>
      <c r="E4" s="38">
        <f>IFERROR(VLOOKUP(B4, 'Filmösszesítő'!A:E, 5, FALSE), "")</f>
        <v>2024</v>
      </c>
      <c r="F4" s="40" t="b">
        <v>1</v>
      </c>
    </row>
    <row r="5" ht="22.5" customHeight="1">
      <c r="A5" s="37">
        <v>4.0</v>
      </c>
      <c r="B5" s="6" t="s">
        <v>34</v>
      </c>
      <c r="C5" s="38">
        <f>IFERROR(VLOOKUP(B5, 'Filmösszesítő'!A:E, 2, FALSE), "")</f>
        <v>5.65</v>
      </c>
      <c r="D5" s="39" t="str">
        <f>IFERROR(VLOOKUP(B5, 'Filmösszesítő'!A:E, 4, FALSE), "")</f>
        <v>https://youtu.be/UCVhZ09MsD4</v>
      </c>
      <c r="E5" s="38">
        <f>IFERROR(VLOOKUP(B5, 'Filmösszesítő'!A:E, 5, FALSE), "")</f>
        <v>2017</v>
      </c>
      <c r="F5" s="40" t="b">
        <v>1</v>
      </c>
    </row>
    <row r="6" ht="22.5" customHeight="1">
      <c r="A6" s="37">
        <v>5.0</v>
      </c>
      <c r="B6" s="6" t="s">
        <v>86</v>
      </c>
      <c r="C6" s="38">
        <f>IFERROR(VLOOKUP(B6, 'Filmösszesítő'!A:E, 2, FALSE), "")</f>
        <v>16.78</v>
      </c>
      <c r="D6" s="39" t="str">
        <f>IFERROR(VLOOKUP(B6, 'Filmösszesítő'!A:E, 4, FALSE), "")</f>
        <v>https://youtu.be/oOY_ZimZMC0</v>
      </c>
      <c r="E6" s="38">
        <f>IFERROR(VLOOKUP(B6, 'Filmösszesítő'!A:E, 5, FALSE), "")</f>
        <v>2019</v>
      </c>
      <c r="F6" s="40" t="b">
        <v>1</v>
      </c>
    </row>
    <row r="7" ht="22.5" customHeight="1">
      <c r="A7" s="37">
        <v>6.0</v>
      </c>
      <c r="B7" s="6" t="s">
        <v>18</v>
      </c>
      <c r="C7" s="38">
        <f>IFERROR(VLOOKUP(B7, 'Filmösszesítő'!A:E, 2, FALSE), "")</f>
        <v>25</v>
      </c>
      <c r="D7" s="39" t="str">
        <f>IFERROR(VLOOKUP(B7, 'Filmösszesítő'!A:E, 4, FALSE), "")</f>
        <v>https://youtu.be/DZnKJDzESfI</v>
      </c>
      <c r="E7" s="38">
        <f>IFERROR(VLOOKUP(B7, 'Filmösszesítő'!A:E, 5, FALSE), "")</f>
        <v>2025</v>
      </c>
      <c r="F7" s="40" t="b">
        <v>1</v>
      </c>
    </row>
    <row r="8" ht="22.5" customHeight="1">
      <c r="A8" s="37"/>
      <c r="B8" s="6"/>
      <c r="C8" s="38" t="str">
        <f>IFERROR(VLOOKUP(B8, 'Filmösszesítő'!A:E, 2, FALSE), "")</f>
        <v/>
      </c>
      <c r="D8" s="38" t="str">
        <f>IFERROR(VLOOKUP(B8, 'Filmösszesítő'!A:E, 4, FALSE), "")</f>
        <v/>
      </c>
      <c r="E8" s="38" t="str">
        <f>IFERROR(VLOOKUP(B8, 'Filmösszesítő'!A:E, 5, FALSE), "")</f>
        <v/>
      </c>
      <c r="F8" s="40" t="b">
        <v>0</v>
      </c>
    </row>
    <row r="9" ht="22.5" customHeight="1">
      <c r="A9" s="41"/>
      <c r="B9" s="42"/>
      <c r="C9" s="38" t="str">
        <f>IFERROR(VLOOKUP(B9, 'Filmösszesítő'!A:E, 2, FALSE), "")</f>
        <v/>
      </c>
      <c r="D9" s="38" t="str">
        <f>IFERROR(VLOOKUP(B9, 'Filmösszesítő'!A:E, 4, FALSE), "")</f>
        <v/>
      </c>
      <c r="E9" s="38" t="str">
        <f>IFERROR(VLOOKUP(B9, 'Filmösszesítő'!A:E, 5, FALSE), "")</f>
        <v/>
      </c>
      <c r="F9" s="40" t="b">
        <v>0</v>
      </c>
    </row>
    <row r="10" ht="22.5" customHeight="1">
      <c r="A10" s="41"/>
      <c r="B10" s="42"/>
      <c r="C10" s="38" t="str">
        <f>IFERROR(VLOOKUP(B10, 'Filmösszesítő'!A:E, 2, FALSE), "")</f>
        <v/>
      </c>
      <c r="D10" s="38" t="str">
        <f>IFERROR(VLOOKUP(B10, 'Filmösszesítő'!A:E, 4, FALSE), "")</f>
        <v/>
      </c>
      <c r="E10" s="38" t="str">
        <f>IFERROR(VLOOKUP(B10, 'Filmösszesítő'!A:E, 5, FALSE), "")</f>
        <v/>
      </c>
      <c r="F10" s="40" t="b">
        <v>0</v>
      </c>
    </row>
    <row r="11" ht="22.5" customHeight="1">
      <c r="A11" s="41"/>
      <c r="B11" s="42"/>
      <c r="C11" s="38" t="str">
        <f>IFERROR(VLOOKUP(B11, 'Filmösszesítő'!A:E, 2, FALSE), "")</f>
        <v/>
      </c>
      <c r="D11" s="38" t="str">
        <f>IFERROR(VLOOKUP(B11, 'Filmösszesítő'!A:E, 4, FALSE), "")</f>
        <v/>
      </c>
      <c r="E11" s="38" t="str">
        <f>IFERROR(VLOOKUP(B11, 'Filmösszesítő'!A:E, 5, FALSE), "")</f>
        <v/>
      </c>
      <c r="F11" s="40" t="b">
        <v>0</v>
      </c>
    </row>
    <row r="12" ht="22.5" customHeight="1">
      <c r="A12" s="41"/>
      <c r="B12" s="42"/>
      <c r="C12" s="38" t="str">
        <f>IFERROR(VLOOKUP(B12, 'Filmösszesítő'!A:E, 2, FALSE), "")</f>
        <v/>
      </c>
      <c r="D12" s="38" t="str">
        <f>IFERROR(VLOOKUP(B12, 'Filmösszesítő'!A:E, 4, FALSE), "")</f>
        <v/>
      </c>
      <c r="E12" s="38" t="str">
        <f>IFERROR(VLOOKUP(B12, 'Filmösszesítő'!A:E, 5, FALSE), "")</f>
        <v/>
      </c>
      <c r="F12" s="40" t="b">
        <v>0</v>
      </c>
    </row>
    <row r="13" ht="22.5" customHeight="1">
      <c r="A13" s="41"/>
      <c r="B13" s="42"/>
      <c r="C13" s="38" t="str">
        <f>IFERROR(VLOOKUP(B13, 'Filmösszesítő'!A:E, 2, FALSE), "")</f>
        <v/>
      </c>
      <c r="D13" s="38" t="str">
        <f>IFERROR(VLOOKUP(B13, 'Filmösszesítő'!A:E, 4, FALSE), "")</f>
        <v/>
      </c>
      <c r="E13" s="38" t="str">
        <f>IFERROR(VLOOKUP(B13, 'Filmösszesítő'!A:E, 5, FALSE), "")</f>
        <v/>
      </c>
      <c r="F13" s="40" t="b">
        <v>0</v>
      </c>
    </row>
    <row r="14" ht="22.5" customHeight="1">
      <c r="A14" s="41"/>
      <c r="B14" s="42"/>
      <c r="C14" s="38" t="str">
        <f>IFERROR(VLOOKUP(B14, 'Filmösszesítő'!A:E, 2, FALSE), "")</f>
        <v/>
      </c>
      <c r="D14" s="38" t="str">
        <f>IFERROR(VLOOKUP(B14, 'Filmösszesítő'!A:E, 4, FALSE), "")</f>
        <v/>
      </c>
      <c r="E14" s="38" t="str">
        <f>IFERROR(VLOOKUP(B14, 'Filmösszesítő'!A:E, 5, FALSE), "")</f>
        <v/>
      </c>
      <c r="F14" s="40" t="b">
        <v>0</v>
      </c>
    </row>
    <row r="15" ht="22.5" customHeight="1">
      <c r="A15" s="41"/>
      <c r="B15" s="42"/>
      <c r="C15" s="38" t="str">
        <f>IFERROR(VLOOKUP(B15, 'Filmösszesítő'!A:E, 2, FALSE), "")</f>
        <v/>
      </c>
      <c r="D15" s="38" t="str">
        <f>IFERROR(VLOOKUP(B15, 'Filmösszesítő'!A:E, 4, FALSE), "")</f>
        <v/>
      </c>
      <c r="E15" s="38" t="str">
        <f>IFERROR(VLOOKUP(B15, 'Filmösszesítő'!A:E, 5, FALSE), "")</f>
        <v/>
      </c>
      <c r="F15" s="40" t="b">
        <v>0</v>
      </c>
    </row>
  </sheetData>
  <dataValidations>
    <dataValidation type="custom" allowBlank="1" showDropDown="1" sqref="A2:A15">
      <formula1>AND(ISNUMBER(A2),(NOT(OR(NOT(ISERROR(DATEVALUE(A2))), AND(ISNUMBER(A2), LEFT(CELL("format", A2))="D")))))</formula1>
    </dataValidation>
    <dataValidation type="list" allowBlank="1" sqref="B2:B15">
      <formula1>#REF!</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8.0"/>
    <col customWidth="1" min="3" max="3" width="51.25"/>
    <col customWidth="1" min="4" max="4" width="52.25"/>
  </cols>
  <sheetData>
    <row r="1">
      <c r="B1" s="33" t="s">
        <v>138</v>
      </c>
      <c r="C1" s="33" t="s">
        <v>139</v>
      </c>
      <c r="D1" s="33" t="s">
        <v>140</v>
      </c>
    </row>
    <row r="2">
      <c r="A2" s="43" t="s">
        <v>141</v>
      </c>
      <c r="B2" s="44" t="s">
        <v>142</v>
      </c>
      <c r="C2" s="44" t="s">
        <v>143</v>
      </c>
      <c r="D2" s="44" t="s">
        <v>144</v>
      </c>
    </row>
    <row r="3">
      <c r="A3" s="43" t="s">
        <v>145</v>
      </c>
      <c r="B3" s="44" t="s">
        <v>146</v>
      </c>
      <c r="C3" s="44" t="s">
        <v>147</v>
      </c>
      <c r="D3" s="44" t="s">
        <v>148</v>
      </c>
      <c r="E3" s="33" t="s">
        <v>149</v>
      </c>
    </row>
    <row r="4">
      <c r="A4" s="43" t="s">
        <v>150</v>
      </c>
      <c r="B4" s="44" t="s">
        <v>151</v>
      </c>
      <c r="C4" s="44" t="s">
        <v>152</v>
      </c>
      <c r="D4" s="44" t="s">
        <v>153</v>
      </c>
    </row>
    <row r="5">
      <c r="A5" s="43" t="s">
        <v>154</v>
      </c>
      <c r="B5" s="44" t="s">
        <v>155</v>
      </c>
      <c r="C5" s="44" t="s">
        <v>156</v>
      </c>
      <c r="D5" s="44" t="s">
        <v>157</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0"/>
    <col customWidth="1" min="3" max="3" width="25.75"/>
    <col customWidth="1" min="4" max="4" width="19.5"/>
    <col customWidth="1" min="5" max="5" width="19.13"/>
    <col customWidth="1" min="6" max="6" width="19.38"/>
    <col customWidth="1" min="7" max="7" width="17.75"/>
    <col customWidth="1" min="8" max="8" width="19.25"/>
  </cols>
  <sheetData>
    <row r="1">
      <c r="A1" s="33" t="s">
        <v>158</v>
      </c>
      <c r="B1" s="33" t="s">
        <v>159</v>
      </c>
      <c r="C1" s="33" t="s">
        <v>160</v>
      </c>
    </row>
    <row r="2">
      <c r="A2" s="33" t="s">
        <v>161</v>
      </c>
      <c r="B2" s="33" t="s">
        <v>162</v>
      </c>
      <c r="C2" s="45" t="s">
        <v>30</v>
      </c>
      <c r="D2" s="33" t="s">
        <v>163</v>
      </c>
    </row>
    <row r="3">
      <c r="A3" s="46" t="s">
        <v>164</v>
      </c>
      <c r="B3" s="33" t="s">
        <v>145</v>
      </c>
      <c r="C3" s="33" t="s">
        <v>165</v>
      </c>
      <c r="D3" s="33" t="s">
        <v>166</v>
      </c>
      <c r="E3" s="33" t="s">
        <v>167</v>
      </c>
      <c r="F3" s="33" t="s">
        <v>49</v>
      </c>
      <c r="G3" s="45" t="s">
        <v>168</v>
      </c>
      <c r="H3" s="45" t="s">
        <v>169</v>
      </c>
      <c r="I3" s="33" t="s">
        <v>170</v>
      </c>
    </row>
    <row r="4">
      <c r="A4" s="46" t="s">
        <v>171</v>
      </c>
      <c r="B4" s="46" t="s">
        <v>172</v>
      </c>
      <c r="C4" s="47" t="s">
        <v>90</v>
      </c>
      <c r="D4" s="33" t="s">
        <v>93</v>
      </c>
      <c r="E4" s="33" t="s">
        <v>112</v>
      </c>
      <c r="F4" s="33" t="s">
        <v>115</v>
      </c>
      <c r="G4" s="33" t="s">
        <v>99</v>
      </c>
      <c r="H4" s="33" t="s">
        <v>102</v>
      </c>
    </row>
    <row r="5">
      <c r="A5" s="48" t="s">
        <v>173</v>
      </c>
      <c r="B5" s="33" t="s">
        <v>174</v>
      </c>
      <c r="C5" s="33" t="s">
        <v>115</v>
      </c>
      <c r="D5" s="33" t="s">
        <v>90</v>
      </c>
    </row>
    <row r="6">
      <c r="A6" s="46" t="s">
        <v>175</v>
      </c>
      <c r="B6" s="46" t="s">
        <v>176</v>
      </c>
      <c r="C6" s="33" t="s">
        <v>177</v>
      </c>
      <c r="D6" s="33" t="s">
        <v>166</v>
      </c>
      <c r="E6" s="33" t="s">
        <v>167</v>
      </c>
      <c r="F6" s="45" t="s">
        <v>168</v>
      </c>
      <c r="G6" s="45" t="s">
        <v>169</v>
      </c>
      <c r="H6" s="33" t="s">
        <v>170</v>
      </c>
    </row>
    <row r="7">
      <c r="A7" s="33" t="s">
        <v>175</v>
      </c>
      <c r="B7" s="33" t="s">
        <v>178</v>
      </c>
      <c r="C7" s="33" t="s">
        <v>167</v>
      </c>
    </row>
    <row r="8">
      <c r="A8" s="46" t="s">
        <v>179</v>
      </c>
      <c r="B8" s="46" t="s">
        <v>180</v>
      </c>
      <c r="C8" s="33" t="s">
        <v>90</v>
      </c>
      <c r="D8" s="33" t="s">
        <v>112</v>
      </c>
      <c r="E8" s="33" t="s">
        <v>99</v>
      </c>
      <c r="F8" s="33" t="s">
        <v>102</v>
      </c>
    </row>
    <row r="9">
      <c r="A9" s="33" t="s">
        <v>181</v>
      </c>
      <c r="B9" s="33" t="s">
        <v>182</v>
      </c>
      <c r="C9" s="33" t="s">
        <v>112</v>
      </c>
      <c r="D9" s="33" t="s">
        <v>99</v>
      </c>
      <c r="E9" s="33" t="s">
        <v>102</v>
      </c>
    </row>
    <row r="10">
      <c r="A10" s="46" t="s">
        <v>183</v>
      </c>
      <c r="B10" s="46" t="s">
        <v>172</v>
      </c>
      <c r="C10" s="47" t="s">
        <v>90</v>
      </c>
      <c r="D10" s="33" t="s">
        <v>93</v>
      </c>
      <c r="E10" s="33" t="s">
        <v>112</v>
      </c>
      <c r="F10" s="33" t="s">
        <v>99</v>
      </c>
      <c r="G10" s="33" t="s">
        <v>102</v>
      </c>
    </row>
    <row r="11">
      <c r="A11" s="46" t="s">
        <v>183</v>
      </c>
      <c r="B11" s="46" t="s">
        <v>184</v>
      </c>
      <c r="C11" s="33" t="s">
        <v>112</v>
      </c>
    </row>
    <row r="12">
      <c r="A12" s="33" t="s">
        <v>185</v>
      </c>
      <c r="B12" s="33" t="s">
        <v>172</v>
      </c>
      <c r="C12" s="45" t="s">
        <v>168</v>
      </c>
    </row>
    <row r="13">
      <c r="A13" s="33" t="s">
        <v>186</v>
      </c>
      <c r="B13" s="33" t="s">
        <v>187</v>
      </c>
      <c r="C13" s="33" t="s">
        <v>188</v>
      </c>
      <c r="D13" s="49" t="s">
        <v>45</v>
      </c>
      <c r="E13" s="33" t="s">
        <v>49</v>
      </c>
    </row>
    <row r="14">
      <c r="A14" s="33" t="s">
        <v>186</v>
      </c>
      <c r="B14" s="33" t="s">
        <v>189</v>
      </c>
      <c r="C14" s="47" t="s">
        <v>90</v>
      </c>
    </row>
    <row r="15">
      <c r="A15" s="33" t="s">
        <v>190</v>
      </c>
      <c r="B15" s="33" t="s">
        <v>191</v>
      </c>
      <c r="C15" s="33" t="s">
        <v>108</v>
      </c>
      <c r="D15" s="33" t="s">
        <v>112</v>
      </c>
      <c r="E15" s="33" t="s">
        <v>99</v>
      </c>
      <c r="F15" s="33" t="s">
        <v>102</v>
      </c>
    </row>
    <row r="16">
      <c r="A16" s="46" t="s">
        <v>192</v>
      </c>
      <c r="B16" s="33" t="s">
        <v>193</v>
      </c>
      <c r="C16" s="33" t="s">
        <v>177</v>
      </c>
      <c r="D16" s="33" t="s">
        <v>166</v>
      </c>
    </row>
    <row r="17">
      <c r="A17" s="46" t="s">
        <v>194</v>
      </c>
      <c r="B17" s="46" t="s">
        <v>195</v>
      </c>
      <c r="C17" s="33" t="s">
        <v>49</v>
      </c>
      <c r="D17" s="33" t="s">
        <v>13</v>
      </c>
    </row>
    <row r="18">
      <c r="A18" s="46" t="s">
        <v>196</v>
      </c>
      <c r="B18" s="46" t="s">
        <v>197</v>
      </c>
      <c r="C18" s="33" t="s">
        <v>188</v>
      </c>
      <c r="D18" s="33" t="s">
        <v>163</v>
      </c>
      <c r="E18" s="33" t="s">
        <v>166</v>
      </c>
      <c r="F18" s="49" t="s">
        <v>45</v>
      </c>
      <c r="G18" s="47" t="s">
        <v>90</v>
      </c>
      <c r="H18" s="45" t="s">
        <v>30</v>
      </c>
      <c r="I18" s="33" t="s">
        <v>49</v>
      </c>
      <c r="J18" s="33" t="s">
        <v>115</v>
      </c>
      <c r="K18" s="45" t="s">
        <v>168</v>
      </c>
    </row>
    <row r="19">
      <c r="A19" s="46" t="s">
        <v>196</v>
      </c>
      <c r="B19" s="46" t="s">
        <v>198</v>
      </c>
      <c r="C19" s="33" t="s">
        <v>165</v>
      </c>
      <c r="D19" s="33" t="s">
        <v>166</v>
      </c>
      <c r="E19" s="33" t="s">
        <v>167</v>
      </c>
      <c r="F19" s="33" t="s">
        <v>49</v>
      </c>
      <c r="G19" s="33" t="s">
        <v>13</v>
      </c>
      <c r="H19" s="45" t="s">
        <v>168</v>
      </c>
      <c r="I19" s="45" t="s">
        <v>169</v>
      </c>
      <c r="J19" s="33" t="s">
        <v>170</v>
      </c>
    </row>
    <row r="20">
      <c r="A20" s="46" t="s">
        <v>199</v>
      </c>
      <c r="B20" s="33" t="s">
        <v>200</v>
      </c>
      <c r="C20" s="33" t="s">
        <v>49</v>
      </c>
    </row>
    <row r="21">
      <c r="A21" s="33" t="s">
        <v>201</v>
      </c>
      <c r="B21" s="33" t="s">
        <v>172</v>
      </c>
      <c r="C21" s="33" t="s">
        <v>112</v>
      </c>
    </row>
    <row r="22">
      <c r="A22" s="46" t="s">
        <v>202</v>
      </c>
      <c r="B22" s="46" t="s">
        <v>203</v>
      </c>
      <c r="C22" s="33" t="s">
        <v>165</v>
      </c>
    </row>
    <row r="23">
      <c r="A23" s="33" t="s">
        <v>204</v>
      </c>
      <c r="B23" s="33" t="s">
        <v>205</v>
      </c>
      <c r="C23" s="33" t="s">
        <v>49</v>
      </c>
    </row>
    <row r="24">
      <c r="A24" s="46" t="s">
        <v>206</v>
      </c>
      <c r="B24" s="46" t="s">
        <v>207</v>
      </c>
      <c r="C24" s="47" t="s">
        <v>90</v>
      </c>
      <c r="D24" s="33" t="s">
        <v>108</v>
      </c>
      <c r="E24" s="33" t="s">
        <v>115</v>
      </c>
      <c r="F24" s="33" t="s">
        <v>99</v>
      </c>
    </row>
    <row r="25">
      <c r="A25" s="46" t="s">
        <v>208</v>
      </c>
      <c r="B25" s="46" t="s">
        <v>209</v>
      </c>
      <c r="C25" s="33" t="s">
        <v>210</v>
      </c>
      <c r="D25" s="33" t="s">
        <v>90</v>
      </c>
      <c r="E25" s="33" t="s">
        <v>93</v>
      </c>
      <c r="F25" s="33" t="s">
        <v>115</v>
      </c>
      <c r="G25" s="33" t="s">
        <v>102</v>
      </c>
    </row>
    <row r="26">
      <c r="A26" s="46" t="s">
        <v>211</v>
      </c>
      <c r="B26" s="46" t="s">
        <v>162</v>
      </c>
      <c r="C26" s="33" t="s">
        <v>166</v>
      </c>
      <c r="D26" s="45" t="s">
        <v>30</v>
      </c>
      <c r="E26" s="33" t="s">
        <v>13</v>
      </c>
    </row>
    <row r="27">
      <c r="A27" s="46" t="s">
        <v>212</v>
      </c>
      <c r="B27" s="46" t="s">
        <v>213</v>
      </c>
      <c r="C27" s="45" t="s">
        <v>168</v>
      </c>
    </row>
    <row r="28">
      <c r="A28" s="46" t="s">
        <v>214</v>
      </c>
      <c r="B28" s="46" t="s">
        <v>205</v>
      </c>
      <c r="C28" s="33" t="s">
        <v>188</v>
      </c>
      <c r="D28" s="33" t="s">
        <v>163</v>
      </c>
      <c r="E28" s="33" t="s">
        <v>166</v>
      </c>
      <c r="F28" s="49" t="s">
        <v>45</v>
      </c>
      <c r="G28" s="47" t="s">
        <v>90</v>
      </c>
      <c r="H28" s="33" t="s">
        <v>108</v>
      </c>
      <c r="I28" s="45" t="s">
        <v>168</v>
      </c>
    </row>
    <row r="29">
      <c r="A29" s="46" t="s">
        <v>215</v>
      </c>
      <c r="B29" s="46" t="s">
        <v>216</v>
      </c>
      <c r="C29" s="33" t="s">
        <v>188</v>
      </c>
      <c r="D29" s="33" t="s">
        <v>163</v>
      </c>
      <c r="E29" s="33" t="s">
        <v>166</v>
      </c>
      <c r="F29" s="49" t="s">
        <v>45</v>
      </c>
      <c r="G29" s="45" t="s">
        <v>168</v>
      </c>
    </row>
    <row r="30">
      <c r="A30" s="46" t="s">
        <v>217</v>
      </c>
      <c r="B30" s="46" t="s">
        <v>218</v>
      </c>
      <c r="C30" s="33" t="s">
        <v>165</v>
      </c>
      <c r="D30" s="45" t="s">
        <v>30</v>
      </c>
      <c r="E30" s="33" t="s">
        <v>49</v>
      </c>
      <c r="F30" s="33" t="s">
        <v>13</v>
      </c>
      <c r="G30" s="33" t="s">
        <v>170</v>
      </c>
    </row>
    <row r="31">
      <c r="A31" s="46" t="s">
        <v>219</v>
      </c>
      <c r="B31" s="46" t="s">
        <v>220</v>
      </c>
      <c r="C31" s="33" t="s">
        <v>90</v>
      </c>
      <c r="D31" s="33" t="s">
        <v>93</v>
      </c>
      <c r="E31" s="33" t="s">
        <v>112</v>
      </c>
      <c r="F31" s="33" t="s">
        <v>115</v>
      </c>
      <c r="G31" s="33" t="s">
        <v>99</v>
      </c>
      <c r="H31" s="33" t="s">
        <v>102</v>
      </c>
      <c r="I31" s="33" t="s">
        <v>108</v>
      </c>
    </row>
    <row r="32">
      <c r="A32" s="46" t="s">
        <v>221</v>
      </c>
      <c r="B32" s="46" t="s">
        <v>141</v>
      </c>
      <c r="C32" s="47" t="s">
        <v>90</v>
      </c>
      <c r="D32" s="33" t="s">
        <v>93</v>
      </c>
      <c r="E32" s="33" t="s">
        <v>115</v>
      </c>
    </row>
    <row r="33">
      <c r="A33" s="33" t="s">
        <v>222</v>
      </c>
      <c r="B33" s="33" t="s">
        <v>223</v>
      </c>
      <c r="C33" s="33" t="s">
        <v>112</v>
      </c>
    </row>
    <row r="34">
      <c r="A34" s="46" t="s">
        <v>224</v>
      </c>
      <c r="B34" s="46" t="s">
        <v>225</v>
      </c>
      <c r="C34" s="33" t="s">
        <v>165</v>
      </c>
      <c r="D34" s="33" t="s">
        <v>166</v>
      </c>
      <c r="E34" s="47" t="s">
        <v>71</v>
      </c>
      <c r="F34" s="47" t="s">
        <v>90</v>
      </c>
      <c r="G34" s="33" t="s">
        <v>49</v>
      </c>
      <c r="H34" s="33" t="s">
        <v>115</v>
      </c>
      <c r="I34" s="33" t="s">
        <v>99</v>
      </c>
      <c r="J34" s="33" t="s">
        <v>102</v>
      </c>
    </row>
    <row r="35">
      <c r="A35" s="33" t="s">
        <v>226</v>
      </c>
      <c r="B35" s="33" t="s">
        <v>218</v>
      </c>
      <c r="C35" s="33" t="s">
        <v>90</v>
      </c>
      <c r="D35" s="33" t="s">
        <v>93</v>
      </c>
      <c r="E35" s="33" t="s">
        <v>115</v>
      </c>
    </row>
    <row r="36">
      <c r="A36" s="33" t="s">
        <v>227</v>
      </c>
      <c r="B36" s="33" t="s">
        <v>228</v>
      </c>
      <c r="C36" s="33" t="s">
        <v>93</v>
      </c>
      <c r="D36" s="33" t="s">
        <v>112</v>
      </c>
    </row>
    <row r="37">
      <c r="A37" s="46" t="s">
        <v>229</v>
      </c>
      <c r="B37" s="46" t="s">
        <v>230</v>
      </c>
      <c r="C37" s="33" t="s">
        <v>177</v>
      </c>
      <c r="D37" s="33" t="s">
        <v>166</v>
      </c>
      <c r="E37" s="47" t="s">
        <v>90</v>
      </c>
      <c r="F37" s="45" t="s">
        <v>30</v>
      </c>
      <c r="G37" s="33" t="s">
        <v>49</v>
      </c>
      <c r="H37" s="33" t="s">
        <v>115</v>
      </c>
      <c r="I37" s="45" t="s">
        <v>168</v>
      </c>
    </row>
    <row r="38">
      <c r="A38" s="46" t="s">
        <v>229</v>
      </c>
      <c r="B38" s="46" t="s">
        <v>231</v>
      </c>
      <c r="C38" s="47" t="s">
        <v>71</v>
      </c>
      <c r="D38" s="33" t="s">
        <v>166</v>
      </c>
      <c r="E38" s="47" t="s">
        <v>90</v>
      </c>
      <c r="F38" s="33" t="s">
        <v>115</v>
      </c>
      <c r="G38" s="45" t="s">
        <v>168</v>
      </c>
      <c r="H38" s="33" t="s">
        <v>99</v>
      </c>
      <c r="I38" s="33" t="s">
        <v>102</v>
      </c>
    </row>
    <row r="39">
      <c r="A39" s="46" t="s">
        <v>229</v>
      </c>
      <c r="B39" s="46" t="s">
        <v>232</v>
      </c>
      <c r="C39" s="33" t="s">
        <v>166</v>
      </c>
      <c r="D39" s="47" t="s">
        <v>90</v>
      </c>
      <c r="E39" s="33" t="s">
        <v>49</v>
      </c>
      <c r="F39" s="33" t="s">
        <v>115</v>
      </c>
      <c r="G39" s="45" t="s">
        <v>168</v>
      </c>
    </row>
    <row r="40">
      <c r="A40" s="46" t="s">
        <v>229</v>
      </c>
      <c r="B40" s="46" t="s">
        <v>233</v>
      </c>
      <c r="C40" s="33" t="s">
        <v>90</v>
      </c>
      <c r="D40" s="33" t="s">
        <v>93</v>
      </c>
      <c r="E40" s="33" t="s">
        <v>112</v>
      </c>
      <c r="F40" s="33" t="s">
        <v>102</v>
      </c>
    </row>
    <row r="41">
      <c r="A41" s="46" t="s">
        <v>234</v>
      </c>
      <c r="B41" s="46" t="s">
        <v>235</v>
      </c>
      <c r="C41" s="33" t="s">
        <v>165</v>
      </c>
      <c r="D41" s="33" t="s">
        <v>166</v>
      </c>
      <c r="E41" s="47" t="s">
        <v>71</v>
      </c>
      <c r="F41" s="47" t="s">
        <v>90</v>
      </c>
      <c r="G41" s="33" t="s">
        <v>115</v>
      </c>
      <c r="H41" s="45" t="s">
        <v>168</v>
      </c>
    </row>
    <row r="42">
      <c r="A42" s="33" t="s">
        <v>236</v>
      </c>
      <c r="B42" s="33" t="s">
        <v>193</v>
      </c>
      <c r="C42" s="33" t="s">
        <v>177</v>
      </c>
    </row>
    <row r="43">
      <c r="A43" s="46" t="s">
        <v>237</v>
      </c>
      <c r="B43" s="46" t="s">
        <v>150</v>
      </c>
      <c r="C43" s="33" t="s">
        <v>188</v>
      </c>
      <c r="D43" s="33" t="s">
        <v>163</v>
      </c>
      <c r="E43" s="33" t="s">
        <v>166</v>
      </c>
      <c r="F43" s="49" t="s">
        <v>45</v>
      </c>
      <c r="G43" s="45" t="s">
        <v>30</v>
      </c>
      <c r="H43" s="33" t="s">
        <v>49</v>
      </c>
    </row>
    <row r="44">
      <c r="A44" s="46" t="s">
        <v>238</v>
      </c>
      <c r="B44" s="46" t="s">
        <v>239</v>
      </c>
      <c r="C44" s="47" t="s">
        <v>71</v>
      </c>
      <c r="D44" s="33" t="s">
        <v>115</v>
      </c>
    </row>
    <row r="45">
      <c r="A45" s="33" t="s">
        <v>240</v>
      </c>
      <c r="B45" s="33" t="s">
        <v>241</v>
      </c>
      <c r="C45" s="33" t="s">
        <v>167</v>
      </c>
      <c r="D45" s="45" t="s">
        <v>169</v>
      </c>
    </row>
    <row r="46">
      <c r="A46" s="33" t="s">
        <v>240</v>
      </c>
      <c r="B46" s="33" t="s">
        <v>239</v>
      </c>
      <c r="C46" s="33" t="s">
        <v>13</v>
      </c>
    </row>
    <row r="47">
      <c r="A47" s="33" t="s">
        <v>242</v>
      </c>
      <c r="B47" s="33" t="s">
        <v>218</v>
      </c>
      <c r="C47" s="33" t="s">
        <v>112</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8.25"/>
  </cols>
  <sheetData>
    <row r="1">
      <c r="A1" s="50" t="s">
        <v>243</v>
      </c>
      <c r="B1" s="51" t="s">
        <v>244</v>
      </c>
      <c r="C1" s="52" t="s">
        <v>245</v>
      </c>
      <c r="D1" s="53" t="s">
        <v>246</v>
      </c>
      <c r="E1" s="33" t="s">
        <v>149</v>
      </c>
    </row>
    <row r="2">
      <c r="A2" s="54" t="s">
        <v>220</v>
      </c>
      <c r="B2" s="55" t="s">
        <v>207</v>
      </c>
      <c r="C2" s="56" t="s">
        <v>232</v>
      </c>
      <c r="D2" s="57"/>
    </row>
    <row r="3">
      <c r="A3" s="54" t="s">
        <v>247</v>
      </c>
      <c r="B3" s="55" t="s">
        <v>180</v>
      </c>
      <c r="C3" s="56" t="s">
        <v>231</v>
      </c>
      <c r="D3" s="57"/>
    </row>
    <row r="4">
      <c r="A4" s="54" t="s">
        <v>248</v>
      </c>
      <c r="B4" s="55" t="s">
        <v>235</v>
      </c>
      <c r="C4" s="56" t="s">
        <v>230</v>
      </c>
      <c r="D4" s="57"/>
    </row>
    <row r="5">
      <c r="A5" s="54" t="s">
        <v>249</v>
      </c>
      <c r="B5" s="55" t="s">
        <v>250</v>
      </c>
      <c r="C5" s="56" t="s">
        <v>233</v>
      </c>
      <c r="D5" s="57"/>
    </row>
    <row r="6">
      <c r="A6" s="54" t="s">
        <v>197</v>
      </c>
      <c r="B6" s="55" t="s">
        <v>203</v>
      </c>
      <c r="C6" s="56" t="s">
        <v>251</v>
      </c>
      <c r="D6" s="57"/>
    </row>
    <row r="7">
      <c r="A7" s="54" t="s">
        <v>198</v>
      </c>
      <c r="B7" s="55" t="s">
        <v>252</v>
      </c>
      <c r="C7" s="56" t="s">
        <v>225</v>
      </c>
      <c r="D7" s="57"/>
    </row>
    <row r="8">
      <c r="A8" s="54" t="s">
        <v>253</v>
      </c>
      <c r="B8" s="58"/>
      <c r="C8" s="59"/>
      <c r="D8" s="57"/>
    </row>
    <row r="9">
      <c r="A9" s="54" t="s">
        <v>254</v>
      </c>
      <c r="B9" s="58"/>
      <c r="C9" s="59"/>
      <c r="D9" s="57"/>
    </row>
    <row r="10">
      <c r="A10" s="54" t="s">
        <v>180</v>
      </c>
      <c r="B10" s="58"/>
      <c r="C10" s="59"/>
      <c r="D10" s="57"/>
    </row>
    <row r="11">
      <c r="A11" s="60"/>
      <c r="B11" s="58"/>
      <c r="C11" s="59"/>
      <c r="D11" s="57"/>
    </row>
    <row r="12">
      <c r="A12" s="60"/>
      <c r="B12" s="58"/>
      <c r="C12" s="59"/>
      <c r="D12" s="57"/>
    </row>
    <row r="13">
      <c r="A13" s="60"/>
      <c r="B13" s="58"/>
      <c r="C13" s="59"/>
      <c r="D13" s="57"/>
    </row>
    <row r="14">
      <c r="A14" s="60"/>
      <c r="B14" s="58"/>
      <c r="C14" s="59"/>
      <c r="D14" s="57"/>
    </row>
    <row r="15">
      <c r="A15" s="60"/>
      <c r="B15" s="58"/>
      <c r="C15" s="59"/>
      <c r="D15" s="57"/>
    </row>
    <row r="16">
      <c r="A16" s="60"/>
      <c r="B16" s="58"/>
      <c r="C16" s="59"/>
      <c r="D16" s="57"/>
    </row>
    <row r="17">
      <c r="A17" s="60"/>
      <c r="B17" s="58"/>
      <c r="C17" s="59"/>
      <c r="D17" s="57"/>
    </row>
    <row r="18">
      <c r="A18" s="60"/>
      <c r="B18" s="58"/>
      <c r="C18" s="59"/>
      <c r="D18" s="57"/>
    </row>
    <row r="19">
      <c r="A19" s="60"/>
      <c r="B19" s="58"/>
      <c r="C19" s="59"/>
      <c r="D19" s="57"/>
    </row>
    <row r="20">
      <c r="A20" s="60"/>
      <c r="B20" s="58"/>
      <c r="C20" s="59"/>
      <c r="D20" s="57"/>
    </row>
    <row r="21">
      <c r="A21" s="60"/>
      <c r="B21" s="58"/>
      <c r="C21" s="59"/>
      <c r="D21" s="57"/>
    </row>
    <row r="22">
      <c r="A22" s="60"/>
      <c r="B22" s="58"/>
      <c r="C22" s="59"/>
      <c r="D22" s="57"/>
    </row>
    <row r="23">
      <c r="A23" s="60"/>
      <c r="B23" s="58"/>
      <c r="C23" s="59"/>
      <c r="D23" s="57"/>
    </row>
    <row r="24">
      <c r="A24" s="60"/>
      <c r="B24" s="58"/>
      <c r="C24" s="59"/>
      <c r="D24" s="57"/>
    </row>
    <row r="25">
      <c r="A25" s="60"/>
      <c r="B25" s="58"/>
      <c r="C25" s="59"/>
      <c r="D25" s="57"/>
    </row>
  </sheetData>
  <drawing r:id="rId1"/>
</worksheet>
</file>